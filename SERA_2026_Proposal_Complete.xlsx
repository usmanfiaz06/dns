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 Calendar" sheetId="1" state="visible" r:id="rId1"/>
    <sheet name="Technical Proposal" sheetId="2" state="visible" r:id="rId2"/>
    <sheet name="Financial Proposal" sheetId="3" state="visible" r:id="rId3"/>
    <sheet name="Sports Budget" sheetId="4" state="visible" r:id="rId4"/>
    <sheet name="Assumptions &amp; 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B4332"/>
      <sz val="10"/>
    </font>
    <font>
      <name val="Arial"/>
      <b val="1"/>
      <color rgb="001B4332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66666"/>
      <sz val="9"/>
    </font>
    <font>
      <name val="Arial"/>
      <i val="1"/>
      <color rgb="00C0392B"/>
      <sz val="9"/>
    </font>
    <font>
      <name val="Arial"/>
      <b val="1"/>
      <color rgb="00FFFFFF"/>
      <sz val="13"/>
    </font>
    <font>
      <name val="Arial"/>
      <i val="1"/>
      <color rgb="002E86C1"/>
      <sz val="10"/>
    </font>
    <font>
      <name val="Arial"/>
      <b val="1"/>
      <color rgb="001B4332"/>
      <sz val="12"/>
    </font>
  </fonts>
  <fills count="13">
    <fill>
      <patternFill/>
    </fill>
    <fill>
      <patternFill patternType="gray125"/>
    </fill>
    <fill>
      <patternFill patternType="solid">
        <fgColor rgb="001B4332"/>
        <bgColor rgb="001B4332"/>
      </patternFill>
    </fill>
    <fill>
      <patternFill patternType="solid">
        <fgColor rgb="00B7E4C7"/>
        <bgColor rgb="00B7E4C7"/>
      </patternFill>
    </fill>
    <fill>
      <patternFill patternType="solid">
        <fgColor rgb="002D6A4F"/>
        <bgColor rgb="002D6A4F"/>
      </patternFill>
    </fill>
    <fill>
      <patternFill patternType="solid">
        <fgColor rgb="00F0F7F4"/>
        <bgColor rgb="00F0F7F4"/>
      </patternFill>
    </fill>
    <fill>
      <patternFill patternType="solid">
        <fgColor rgb="0040916C"/>
        <bgColor rgb="0040916C"/>
      </patternFill>
    </fill>
    <fill>
      <patternFill patternType="solid">
        <fgColor rgb="0052B788"/>
        <bgColor rgb="0052B788"/>
      </patternFill>
    </fill>
    <fill>
      <patternFill patternType="solid">
        <fgColor rgb="00081C15"/>
        <bgColor rgb="00081C15"/>
      </patternFill>
    </fill>
    <fill>
      <patternFill patternType="solid"/>
    </fill>
    <fill>
      <patternFill patternType="solid">
        <fgColor rgb="00FFF3CD"/>
        <bgColor rgb="00FFF3CD"/>
      </patternFill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6" fillId="0" borderId="1" pivotButton="0" quotePrefix="0" xfId="0"/>
    <xf numFmtId="0" fontId="5" fillId="0" borderId="1" pivotButton="0" quotePrefix="0" xfId="0"/>
    <xf numFmtId="3" fontId="6" fillId="0" borderId="1" pivotButton="0" quotePrefix="0" xfId="0"/>
    <xf numFmtId="9" fontId="0" fillId="0" borderId="1" pivotButton="0" quotePrefix="0" xfId="0"/>
    <xf numFmtId="0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3" fontId="0" fillId="0" borderId="1" pivotButton="0" quotePrefix="0" xfId="0"/>
    <xf numFmtId="0" fontId="9" fillId="8" borderId="1" pivotButton="0" quotePrefix="0" xfId="0"/>
    <xf numFmtId="3" fontId="9" fillId="8" borderId="1" pivotButton="0" quotePrefix="0" xfId="0"/>
    <xf numFmtId="0" fontId="3" fillId="3" borderId="0" pivotButton="0" quotePrefix="0" xfId="0"/>
    <xf numFmtId="3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4" fillId="7" borderId="1" pivotButton="0" quotePrefix="0" xfId="0"/>
    <xf numFmtId="3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3" fontId="4" fillId="8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4" fillId="9" borderId="1" applyAlignment="1" pivotButton="0" quotePrefix="0" xfId="0">
      <alignment horizontal="center" vertical="center" wrapText="1"/>
    </xf>
    <xf numFmtId="3" fontId="4" fillId="9" borderId="1" applyAlignment="1" pivotButton="0" quotePrefix="0" xfId="0">
      <alignment horizontal="center" vertical="center" wrapText="1"/>
    </xf>
    <xf numFmtId="0" fontId="6" fillId="10" borderId="1" pivotButton="0" quotePrefix="0" xfId="0"/>
    <xf numFmtId="0" fontId="0" fillId="10" borderId="1" pivotButton="0" quotePrefix="0" xfId="0"/>
    <xf numFmtId="3" fontId="6" fillId="10" borderId="1" pivotButton="0" quotePrefix="0" xfId="0"/>
    <xf numFmtId="3" fontId="5" fillId="0" borderId="1" pivotButton="0" quotePrefix="0" xfId="0"/>
    <xf numFmtId="0" fontId="5" fillId="5" borderId="1" pivotButton="0" quotePrefix="0" xfId="0"/>
    <xf numFmtId="3" fontId="5" fillId="5" borderId="1" pivotButton="0" quotePrefix="0" xfId="0"/>
    <xf numFmtId="3" fontId="0" fillId="5" borderId="1" pivotButton="0" quotePrefix="0" xfId="0"/>
    <xf numFmtId="0" fontId="7" fillId="5" borderId="1" pivotButton="0" quotePrefix="0" xfId="0"/>
    <xf numFmtId="0" fontId="8" fillId="0" borderId="1" pivotButton="0" quotePrefix="0" xfId="0"/>
    <xf numFmtId="0" fontId="8" fillId="5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0916C"/>
    <outlinePr summaryBelow="1" summaryRight="1"/>
    <pageSetUpPr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35" customWidth="1" min="2" max="2"/>
    <col width="22" customWidth="1" min="3" max="3"/>
    <col width="14" customWidth="1" min="4" max="4"/>
    <col width="8" customWidth="1" min="5" max="5"/>
    <col width="22" customWidth="1" min="6" max="6"/>
    <col width="16" customWidth="1" min="7" max="7"/>
    <col width="12" customWidth="1" min="8" max="8"/>
  </cols>
  <sheetData>
    <row r="1">
      <c r="A1" s="1" t="inlineStr">
        <is>
          <t>SERA 2026 — ANNUAL EVENT CALENDAR &amp; BUDGET OVERVIEW</t>
        </is>
      </c>
    </row>
    <row r="2">
      <c r="A2" s="2" t="inlineStr">
        <is>
          <t>Saudi Electricity Regulatory Authority (هيئة تنظيم الكهرباء) | All Events in Riyadh | Agency Commission: 15%</t>
        </is>
      </c>
    </row>
    <row r="4">
      <c r="A4" s="3" t="inlineStr">
        <is>
          <t>#</t>
        </is>
      </c>
      <c r="B4" s="3" t="inlineStr">
        <is>
          <t>Event Name</t>
        </is>
      </c>
      <c r="C4" s="3" t="inlineStr">
        <is>
          <t>Arabic Name</t>
        </is>
      </c>
      <c r="D4" s="3" t="inlineStr">
        <is>
          <t>Date</t>
        </is>
      </c>
      <c r="E4" s="3" t="inlineStr">
        <is>
          <t>Qtr</t>
        </is>
      </c>
      <c r="F4" s="3" t="inlineStr">
        <is>
          <t>Category</t>
        </is>
      </c>
      <c r="G4" s="3" t="inlineStr">
        <is>
          <t>Est. Attendance</t>
        </is>
      </c>
      <c r="H4" s="3" t="inlineStr">
        <is>
          <t>Event Tier</t>
        </is>
      </c>
    </row>
    <row r="5">
      <c r="A5" s="4" t="n">
        <v>1</v>
      </c>
      <c r="B5" s="4" t="inlineStr">
        <is>
          <t>Annual Meeting 2026</t>
        </is>
      </c>
      <c r="C5" s="5" t="inlineStr">
        <is>
          <t>الاجتماع السنوي</t>
        </is>
      </c>
      <c r="D5" s="5" t="inlineStr">
        <is>
          <t>February 3</t>
        </is>
      </c>
      <c r="E5" s="5" t="inlineStr">
        <is>
          <t>Q1</t>
        </is>
      </c>
      <c r="F5" s="5" t="inlineStr">
        <is>
          <t>Corporate Conference</t>
        </is>
      </c>
      <c r="G5" s="5" t="n">
        <v>300</v>
      </c>
      <c r="H5" s="6" t="inlineStr">
        <is>
          <t>Major</t>
        </is>
      </c>
    </row>
    <row r="6">
      <c r="A6" s="7" t="n">
        <v>2</v>
      </c>
      <c r="B6" s="7" t="inlineStr">
        <is>
          <t>Employee Appreciation Day</t>
        </is>
      </c>
      <c r="C6" s="8" t="inlineStr">
        <is>
          <t>يوم تقدير الموظف</t>
        </is>
      </c>
      <c r="D6" s="8" t="inlineStr">
        <is>
          <t>March 2</t>
        </is>
      </c>
      <c r="E6" s="8" t="inlineStr">
        <is>
          <t>Q1</t>
        </is>
      </c>
      <c r="F6" s="8" t="inlineStr">
        <is>
          <t>Recognition Gala</t>
        </is>
      </c>
      <c r="G6" s="8" t="n">
        <v>300</v>
      </c>
      <c r="H6" s="6" t="inlineStr">
        <is>
          <t>Major</t>
        </is>
      </c>
    </row>
    <row r="7">
      <c r="A7" s="4" t="n">
        <v>3</v>
      </c>
      <c r="B7" s="4" t="inlineStr">
        <is>
          <t>International Women's Day</t>
        </is>
      </c>
      <c r="C7" s="5" t="inlineStr">
        <is>
          <t>اليوم العالمي للمرأة</t>
        </is>
      </c>
      <c r="D7" s="5" t="inlineStr">
        <is>
          <t>March 8</t>
        </is>
      </c>
      <c r="E7" s="5" t="inlineStr">
        <is>
          <t>Q1</t>
        </is>
      </c>
      <c r="F7" s="5" t="inlineStr">
        <is>
          <t>Awareness/Celebration</t>
        </is>
      </c>
      <c r="G7" s="5" t="n">
        <v>150</v>
      </c>
      <c r="H7" s="9" t="inlineStr">
        <is>
          <t>Medium</t>
        </is>
      </c>
    </row>
    <row r="8">
      <c r="A8" s="7" t="n">
        <v>4</v>
      </c>
      <c r="B8" s="7" t="inlineStr">
        <is>
          <t>Saudi Flag Day</t>
        </is>
      </c>
      <c r="C8" s="8" t="inlineStr">
        <is>
          <t>يوم العلم السعودي</t>
        </is>
      </c>
      <c r="D8" s="8" t="inlineStr">
        <is>
          <t>March 11</t>
        </is>
      </c>
      <c r="E8" s="8" t="inlineStr">
        <is>
          <t>Q1</t>
        </is>
      </c>
      <c r="F8" s="8" t="inlineStr">
        <is>
          <t>Patriotic Celebration</t>
        </is>
      </c>
      <c r="G8" s="8" t="n">
        <v>300</v>
      </c>
      <c r="H8" s="8" t="inlineStr">
        <is>
          <t>Light</t>
        </is>
      </c>
    </row>
    <row r="9">
      <c r="A9" s="4" t="n">
        <v>5</v>
      </c>
      <c r="B9" s="4" t="inlineStr">
        <is>
          <t>Ramadan Iftar</t>
        </is>
      </c>
      <c r="C9" s="5" t="inlineStr">
        <is>
          <t>إفطار رمضان</t>
        </is>
      </c>
      <c r="D9" s="5" t="inlineStr">
        <is>
          <t>Mid-March</t>
        </is>
      </c>
      <c r="E9" s="5" t="inlineStr">
        <is>
          <t>Q1</t>
        </is>
      </c>
      <c r="F9" s="5" t="inlineStr">
        <is>
          <t>Corporate Iftar</t>
        </is>
      </c>
      <c r="G9" s="5" t="n">
        <v>300</v>
      </c>
      <c r="H9" s="6" t="inlineStr">
        <is>
          <t>Major</t>
        </is>
      </c>
    </row>
    <row r="10">
      <c r="A10" s="7" t="n">
        <v>6</v>
      </c>
      <c r="B10" s="7" t="inlineStr">
        <is>
          <t>Mother's Day</t>
        </is>
      </c>
      <c r="C10" s="8" t="inlineStr">
        <is>
          <t>يوم الأم</t>
        </is>
      </c>
      <c r="D10" s="8" t="inlineStr">
        <is>
          <t>March 21</t>
        </is>
      </c>
      <c r="E10" s="8" t="inlineStr">
        <is>
          <t>Q1</t>
        </is>
      </c>
      <c r="F10" s="8" t="inlineStr">
        <is>
          <t>Appreciation Event</t>
        </is>
      </c>
      <c r="G10" s="8" t="n">
        <v>130</v>
      </c>
      <c r="H10" s="9" t="inlineStr">
        <is>
          <t>Medium</t>
        </is>
      </c>
    </row>
    <row r="11">
      <c r="A11" s="4" t="n">
        <v>7</v>
      </c>
      <c r="B11" s="4" t="inlineStr">
        <is>
          <t>Eid Al-Fitr Celebration</t>
        </is>
      </c>
      <c r="C11" s="5" t="inlineStr">
        <is>
          <t>احتفال عيد الفطر</t>
        </is>
      </c>
      <c r="D11" s="5" t="inlineStr">
        <is>
          <t>Early April</t>
        </is>
      </c>
      <c r="E11" s="5" t="inlineStr">
        <is>
          <t>Q2</t>
        </is>
      </c>
      <c r="F11" s="5" t="inlineStr">
        <is>
          <t>Major Gala</t>
        </is>
      </c>
      <c r="G11" s="5" t="n">
        <v>300</v>
      </c>
      <c r="H11" s="6" t="inlineStr">
        <is>
          <t>Major</t>
        </is>
      </c>
    </row>
    <row r="12">
      <c r="A12" s="7" t="n">
        <v>8</v>
      </c>
      <c r="B12" s="7" t="inlineStr">
        <is>
          <t>Creativity &amp; Innovation Day</t>
        </is>
      </c>
      <c r="C12" s="8" t="inlineStr">
        <is>
          <t>يوم الإبداع والابتكار</t>
        </is>
      </c>
      <c r="D12" s="8" t="inlineStr">
        <is>
          <t>April 21</t>
        </is>
      </c>
      <c r="E12" s="8" t="inlineStr">
        <is>
          <t>Q2</t>
        </is>
      </c>
      <c r="F12" s="8" t="inlineStr">
        <is>
          <t>Professional Development</t>
        </is>
      </c>
      <c r="G12" s="8" t="n">
        <v>200</v>
      </c>
      <c r="H12" s="9" t="inlineStr">
        <is>
          <t>Medium</t>
        </is>
      </c>
    </row>
    <row r="13">
      <c r="A13" s="4" t="n">
        <v>9</v>
      </c>
      <c r="B13" s="4" t="inlineStr">
        <is>
          <t>International Tea Day</t>
        </is>
      </c>
      <c r="C13" s="5" t="inlineStr">
        <is>
          <t>اليوم العالمي للشاي</t>
        </is>
      </c>
      <c r="D13" s="5" t="inlineStr">
        <is>
          <t>May 21</t>
        </is>
      </c>
      <c r="E13" s="5" t="inlineStr">
        <is>
          <t>Q2</t>
        </is>
      </c>
      <c r="F13" s="5" t="inlineStr">
        <is>
          <t>Social/Wellness</t>
        </is>
      </c>
      <c r="G13" s="5" t="n">
        <v>250</v>
      </c>
      <c r="H13" s="5" t="inlineStr">
        <is>
          <t>Light</t>
        </is>
      </c>
    </row>
    <row r="14">
      <c r="A14" s="7" t="n">
        <v>10</v>
      </c>
      <c r="B14" s="7" t="inlineStr">
        <is>
          <t>Blood Donation Day</t>
        </is>
      </c>
      <c r="C14" s="8" t="inlineStr">
        <is>
          <t>يوم التبرع بالدم</t>
        </is>
      </c>
      <c r="D14" s="8" t="inlineStr">
        <is>
          <t>June 14</t>
        </is>
      </c>
      <c r="E14" s="8" t="inlineStr">
        <is>
          <t>Q2</t>
        </is>
      </c>
      <c r="F14" s="8" t="inlineStr">
        <is>
          <t>CSR/Health</t>
        </is>
      </c>
      <c r="G14" s="8" t="n">
        <v>120</v>
      </c>
      <c r="H14" s="8" t="inlineStr">
        <is>
          <t>Light</t>
        </is>
      </c>
    </row>
    <row r="15">
      <c r="A15" s="4" t="n">
        <v>11</v>
      </c>
      <c r="B15" s="4" t="inlineStr">
        <is>
          <t>Father's Day</t>
        </is>
      </c>
      <c r="C15" s="5" t="inlineStr">
        <is>
          <t>يوم الأب</t>
        </is>
      </c>
      <c r="D15" s="5" t="inlineStr">
        <is>
          <t>June 15</t>
        </is>
      </c>
      <c r="E15" s="5" t="inlineStr">
        <is>
          <t>Q2</t>
        </is>
      </c>
      <c r="F15" s="5" t="inlineStr">
        <is>
          <t>Appreciation Event</t>
        </is>
      </c>
      <c r="G15" s="5" t="n">
        <v>160</v>
      </c>
      <c r="H15" s="9" t="inlineStr">
        <is>
          <t>Medium</t>
        </is>
      </c>
    </row>
    <row r="16">
      <c r="A16" s="7" t="n">
        <v>12</v>
      </c>
      <c r="B16" s="7" t="inlineStr">
        <is>
          <t>Eid Al-Adha Celebration</t>
        </is>
      </c>
      <c r="C16" s="8" t="inlineStr">
        <is>
          <t>احتفال عيد الأضحى</t>
        </is>
      </c>
      <c r="D16" s="8" t="inlineStr">
        <is>
          <t>Mid-June</t>
        </is>
      </c>
      <c r="E16" s="8" t="inlineStr">
        <is>
          <t>Q2</t>
        </is>
      </c>
      <c r="F16" s="8" t="inlineStr">
        <is>
          <t>Major Gala</t>
        </is>
      </c>
      <c r="G16" s="8" t="n">
        <v>300</v>
      </c>
      <c r="H16" s="6" t="inlineStr">
        <is>
          <t>Major</t>
        </is>
      </c>
    </row>
    <row r="17">
      <c r="A17" s="4" t="n">
        <v>13</v>
      </c>
      <c r="B17" s="4" t="inlineStr">
        <is>
          <t>Summer SERA (صيف سيرا)</t>
        </is>
      </c>
      <c r="C17" s="5" t="inlineStr">
        <is>
          <t>صيف سيرا</t>
        </is>
      </c>
      <c r="D17" s="5" t="inlineStr">
        <is>
          <t>July 20</t>
        </is>
      </c>
      <c r="E17" s="5" t="inlineStr">
        <is>
          <t>Q3</t>
        </is>
      </c>
      <c r="F17" s="5" t="inlineStr">
        <is>
          <t>Seasonal Family Event</t>
        </is>
      </c>
      <c r="G17" s="5" t="n">
        <v>500</v>
      </c>
      <c r="H17" s="6" t="inlineStr">
        <is>
          <t>Major</t>
        </is>
      </c>
    </row>
    <row r="18">
      <c r="A18" s="7" t="n">
        <v>14</v>
      </c>
      <c r="B18" s="7" t="inlineStr">
        <is>
          <t>World Alzheimer's Day</t>
        </is>
      </c>
      <c r="C18" s="8" t="inlineStr">
        <is>
          <t>اليوم العالمي للزهايمر</t>
        </is>
      </c>
      <c r="D18" s="8" t="inlineStr">
        <is>
          <t>September 21</t>
        </is>
      </c>
      <c r="E18" s="8" t="inlineStr">
        <is>
          <t>Q3</t>
        </is>
      </c>
      <c r="F18" s="8" t="inlineStr">
        <is>
          <t>Health Awareness</t>
        </is>
      </c>
      <c r="G18" s="8" t="n">
        <v>200</v>
      </c>
      <c r="H18" s="8" t="inlineStr">
        <is>
          <t>Light</t>
        </is>
      </c>
    </row>
    <row r="19">
      <c r="A19" s="4" t="n">
        <v>15</v>
      </c>
      <c r="B19" s="4" t="inlineStr">
        <is>
          <t>Saudi National Day (96th)</t>
        </is>
      </c>
      <c r="C19" s="5" t="inlineStr">
        <is>
          <t>اليوم الوطني السعودي</t>
        </is>
      </c>
      <c r="D19" s="5" t="inlineStr">
        <is>
          <t>September 23</t>
        </is>
      </c>
      <c r="E19" s="5" t="inlineStr">
        <is>
          <t>Q3</t>
        </is>
      </c>
      <c r="F19" s="5" t="inlineStr">
        <is>
          <t>National Celebration</t>
        </is>
      </c>
      <c r="G19" s="5" t="n">
        <v>300</v>
      </c>
      <c r="H19" s="6" t="inlineStr">
        <is>
          <t>Major</t>
        </is>
      </c>
    </row>
    <row r="20">
      <c r="A20" s="7" t="n">
        <v>16</v>
      </c>
      <c r="B20" s="7" t="inlineStr">
        <is>
          <t>International Coffee Day</t>
        </is>
      </c>
      <c r="C20" s="8" t="inlineStr">
        <is>
          <t>اليوم العالمي للقهوة</t>
        </is>
      </c>
      <c r="D20" s="8" t="inlineStr">
        <is>
          <t>October 1</t>
        </is>
      </c>
      <c r="E20" s="8" t="inlineStr">
        <is>
          <t>Q4</t>
        </is>
      </c>
      <c r="F20" s="8" t="inlineStr">
        <is>
          <t>Social/Wellness</t>
        </is>
      </c>
      <c r="G20" s="8" t="n">
        <v>250</v>
      </c>
      <c r="H20" s="8" t="inlineStr">
        <is>
          <t>Light</t>
        </is>
      </c>
    </row>
    <row r="21">
      <c r="A21" s="4" t="n">
        <v>17</v>
      </c>
      <c r="B21" s="4" t="inlineStr">
        <is>
          <t>Cybersecurity Exhibition</t>
        </is>
      </c>
      <c r="C21" s="5" t="inlineStr">
        <is>
          <t>معرض الأمن السيبراني</t>
        </is>
      </c>
      <c r="D21" s="5" t="inlineStr">
        <is>
          <t>October TBD</t>
        </is>
      </c>
      <c r="E21" s="5" t="inlineStr">
        <is>
          <t>Q4</t>
        </is>
      </c>
      <c r="F21" s="5" t="inlineStr">
        <is>
          <t>Professional/Awareness</t>
        </is>
      </c>
      <c r="G21" s="5" t="n">
        <v>250</v>
      </c>
      <c r="H21" s="9" t="inlineStr">
        <is>
          <t>Medium</t>
        </is>
      </c>
    </row>
    <row r="22">
      <c r="A22" s="7" t="n">
        <v>18</v>
      </c>
      <c r="B22" s="7" t="inlineStr">
        <is>
          <t>World Mental Health Day</t>
        </is>
      </c>
      <c r="C22" s="8" t="inlineStr">
        <is>
          <t>اليوم العالمي للصحة النفسية</t>
        </is>
      </c>
      <c r="D22" s="8" t="inlineStr">
        <is>
          <t>October 10</t>
        </is>
      </c>
      <c r="E22" s="8" t="inlineStr">
        <is>
          <t>Q4</t>
        </is>
      </c>
      <c r="F22" s="8" t="inlineStr">
        <is>
          <t>Health Awareness</t>
        </is>
      </c>
      <c r="G22" s="8" t="n">
        <v>200</v>
      </c>
      <c r="H22" s="8" t="inlineStr">
        <is>
          <t>Light</t>
        </is>
      </c>
    </row>
    <row r="23">
      <c r="A23" s="4" t="n">
        <v>19</v>
      </c>
      <c r="B23" s="4" t="inlineStr">
        <is>
          <t>Quality Day</t>
        </is>
      </c>
      <c r="C23" s="5" t="inlineStr">
        <is>
          <t>يوم الجودة</t>
        </is>
      </c>
      <c r="D23" s="5" t="inlineStr">
        <is>
          <t>November 10</t>
        </is>
      </c>
      <c r="E23" s="5" t="inlineStr">
        <is>
          <t>Q4</t>
        </is>
      </c>
      <c r="F23" s="5" t="inlineStr">
        <is>
          <t>Professional Development</t>
        </is>
      </c>
      <c r="G23" s="5" t="n">
        <v>180</v>
      </c>
      <c r="H23" s="9" t="inlineStr">
        <is>
          <t>Medium</t>
        </is>
      </c>
    </row>
    <row r="24">
      <c r="A24" s="7" t="n">
        <v>20</v>
      </c>
      <c r="B24" s="7" t="inlineStr">
        <is>
          <t>International Men's Day</t>
        </is>
      </c>
      <c r="C24" s="8" t="inlineStr">
        <is>
          <t>اليوم العالمي للرجل</t>
        </is>
      </c>
      <c r="D24" s="8" t="inlineStr">
        <is>
          <t>November 19</t>
        </is>
      </c>
      <c r="E24" s="8" t="inlineStr">
        <is>
          <t>Q4</t>
        </is>
      </c>
      <c r="F24" s="8" t="inlineStr">
        <is>
          <t>Appreciation Event</t>
        </is>
      </c>
      <c r="G24" s="8" t="n">
        <v>200</v>
      </c>
      <c r="H24" s="9" t="inlineStr">
        <is>
          <t>Medium</t>
        </is>
      </c>
    </row>
    <row r="25">
      <c r="A25" s="4" t="n">
        <v>21</v>
      </c>
      <c r="B25" s="4" t="inlineStr">
        <is>
          <t>Universal Children's Day</t>
        </is>
      </c>
      <c r="C25" s="5" t="inlineStr">
        <is>
          <t>اليوم العالمي للطفل</t>
        </is>
      </c>
      <c r="D25" s="5" t="inlineStr">
        <is>
          <t>November 20</t>
        </is>
      </c>
      <c r="E25" s="5" t="inlineStr">
        <is>
          <t>Q4</t>
        </is>
      </c>
      <c r="F25" s="5" t="inlineStr">
        <is>
          <t>CSR/Family</t>
        </is>
      </c>
      <c r="G25" s="5" t="n">
        <v>200</v>
      </c>
      <c r="H25" s="9" t="inlineStr">
        <is>
          <t>Medium</t>
        </is>
      </c>
    </row>
    <row r="26">
      <c r="A26" s="7" t="n">
        <v>22</v>
      </c>
      <c r="B26" s="7" t="inlineStr">
        <is>
          <t>Volunteer Day</t>
        </is>
      </c>
      <c r="C26" s="8" t="inlineStr">
        <is>
          <t>يوم التطوع</t>
        </is>
      </c>
      <c r="D26" s="8" t="inlineStr">
        <is>
          <t>December 5</t>
        </is>
      </c>
      <c r="E26" s="8" t="inlineStr">
        <is>
          <t>Q4</t>
        </is>
      </c>
      <c r="F26" s="8" t="inlineStr">
        <is>
          <t>CSR Activity</t>
        </is>
      </c>
      <c r="G26" s="8" t="n">
        <v>80</v>
      </c>
      <c r="H26" s="8" t="inlineStr">
        <is>
          <t>Light</t>
        </is>
      </c>
    </row>
    <row r="27">
      <c r="A27" s="4" t="n">
        <v>23</v>
      </c>
      <c r="B27" s="4" t="inlineStr">
        <is>
          <t>Anti-Corruption Day</t>
        </is>
      </c>
      <c r="C27" s="5" t="inlineStr">
        <is>
          <t>اليوم العالمي لمكافحة الفساد</t>
        </is>
      </c>
      <c r="D27" s="5" t="inlineStr">
        <is>
          <t>December 9</t>
        </is>
      </c>
      <c r="E27" s="5" t="inlineStr">
        <is>
          <t>Q4</t>
        </is>
      </c>
      <c r="F27" s="5" t="inlineStr">
        <is>
          <t>Awareness</t>
        </is>
      </c>
      <c r="G27" s="5" t="n">
        <v>200</v>
      </c>
      <c r="H27" s="5" t="inlineStr">
        <is>
          <t>Light</t>
        </is>
      </c>
    </row>
    <row r="28">
      <c r="A28" s="7" t="n">
        <v>24</v>
      </c>
      <c r="B28" s="7" t="inlineStr">
        <is>
          <t>Arabic Language Day</t>
        </is>
      </c>
      <c r="C28" s="8" t="inlineStr">
        <is>
          <t>اليوم العالمي للغة العربية</t>
        </is>
      </c>
      <c r="D28" s="8" t="inlineStr">
        <is>
          <t>December 18</t>
        </is>
      </c>
      <c r="E28" s="8" t="inlineStr">
        <is>
          <t>Q4</t>
        </is>
      </c>
      <c r="F28" s="8" t="inlineStr">
        <is>
          <t>Cultural Celebration</t>
        </is>
      </c>
      <c r="G28" s="8" t="n">
        <v>200</v>
      </c>
      <c r="H28" s="9" t="inlineStr">
        <is>
          <t>Medium</t>
        </is>
      </c>
    </row>
    <row r="29">
      <c r="A29" s="4" t="n">
        <v>25</v>
      </c>
      <c r="B29" s="4" t="inlineStr">
        <is>
          <t>Year-End Celebration</t>
        </is>
      </c>
      <c r="C29" s="5" t="inlineStr">
        <is>
          <t>حفل نهاية العام</t>
        </is>
      </c>
      <c r="D29" s="5" t="inlineStr">
        <is>
          <t>Late December</t>
        </is>
      </c>
      <c r="E29" s="5" t="inlineStr">
        <is>
          <t>Q4</t>
        </is>
      </c>
      <c r="F29" s="5" t="inlineStr">
        <is>
          <t>Major Gala</t>
        </is>
      </c>
      <c r="G29" s="5" t="n">
        <v>300</v>
      </c>
      <c r="H29" s="6" t="inlineStr">
        <is>
          <t>Major</t>
        </is>
      </c>
    </row>
    <row r="30">
      <c r="A30" s="7" t="inlineStr">
        <is>
          <t>S1</t>
        </is>
      </c>
      <c r="B30" s="7" t="inlineStr">
        <is>
          <t>Football Tournament</t>
        </is>
      </c>
      <c r="C30" s="8" t="inlineStr">
        <is>
          <t>بطولة كرة القدم</t>
        </is>
      </c>
      <c r="D30" s="8" t="inlineStr">
        <is>
          <t>TBD (3 weekends)</t>
        </is>
      </c>
      <c r="E30" s="8" t="inlineStr">
        <is>
          <t>Sports</t>
        </is>
      </c>
      <c r="F30" s="8" t="inlineStr">
        <is>
          <t>Sports Competition</t>
        </is>
      </c>
      <c r="G30" s="8" t="n">
        <v>150</v>
      </c>
      <c r="H30" s="6" t="inlineStr">
        <is>
          <t>Major</t>
        </is>
      </c>
    </row>
    <row r="31">
      <c r="A31" s="4" t="inlineStr">
        <is>
          <t>S2</t>
        </is>
      </c>
      <c r="B31" s="4" t="inlineStr">
        <is>
          <t>Padel Tournament</t>
        </is>
      </c>
      <c r="C31" s="5" t="inlineStr">
        <is>
          <t>بطولة البادل</t>
        </is>
      </c>
      <c r="D31" s="5" t="inlineStr">
        <is>
          <t>TBD (2 weekends)</t>
        </is>
      </c>
      <c r="E31" s="5" t="inlineStr">
        <is>
          <t>Sports</t>
        </is>
      </c>
      <c r="F31" s="5" t="inlineStr">
        <is>
          <t>Sports Competition</t>
        </is>
      </c>
      <c r="G31" s="5" t="n">
        <v>20</v>
      </c>
      <c r="H31" s="9" t="inlineStr">
        <is>
          <t>Medium</t>
        </is>
      </c>
    </row>
    <row r="34">
      <c r="A34" s="10" t="inlineStr">
        <is>
          <t>BUDGET SUMMARY (Linked from Financial Proposal &amp; Sports Budget)</t>
        </is>
      </c>
    </row>
    <row r="35">
      <c r="A35" s="3" t="inlineStr">
        <is>
          <t>Category</t>
        </is>
      </c>
      <c r="B35" s="3" t="inlineStr">
        <is>
          <t># Events</t>
        </is>
      </c>
      <c r="C35" s="3" t="inlineStr">
        <is>
          <t>Total (SAR)</t>
        </is>
      </c>
      <c r="D35" s="3" t="inlineStr">
        <is>
          <t>% of Annual</t>
        </is>
      </c>
      <c r="E35" t="inlineStr"/>
      <c r="F35" t="inlineStr"/>
      <c r="G35" t="inlineStr"/>
      <c r="H35" t="inlineStr"/>
    </row>
    <row r="36">
      <c r="A36" s="11" t="inlineStr">
        <is>
          <t>Q1 Events</t>
        </is>
      </c>
      <c r="B36" s="12" t="n">
        <v>6</v>
      </c>
      <c r="C36" s="13">
        <f>'Financial Proposal'!E377</f>
        <v/>
      </c>
      <c r="D36" s="14">
        <f>C36/C41</f>
        <v/>
      </c>
    </row>
    <row r="37">
      <c r="A37" s="11" t="inlineStr">
        <is>
          <t>Q2 Events</t>
        </is>
      </c>
      <c r="B37" s="12" t="n">
        <v>6</v>
      </c>
      <c r="C37" s="13">
        <f>'Financial Proposal'!E378</f>
        <v/>
      </c>
      <c r="D37" s="14">
        <f>C37/C42</f>
        <v/>
      </c>
    </row>
    <row r="38">
      <c r="A38" s="11" t="inlineStr">
        <is>
          <t>Q3 Events</t>
        </is>
      </c>
      <c r="B38" s="12" t="n">
        <v>3</v>
      </c>
      <c r="C38" s="13">
        <f>'Financial Proposal'!E379</f>
        <v/>
      </c>
      <c r="D38" s="14">
        <f>C38/C43</f>
        <v/>
      </c>
    </row>
    <row r="39">
      <c r="A39" s="11" t="inlineStr">
        <is>
          <t>Q4 Events</t>
        </is>
      </c>
      <c r="B39" s="12" t="n">
        <v>10</v>
      </c>
      <c r="C39" s="13">
        <f>'Financial Proposal'!E380</f>
        <v/>
      </c>
      <c r="D39" s="14">
        <f>C39/C41</f>
        <v/>
      </c>
    </row>
    <row r="40">
      <c r="A40" s="11" t="inlineStr">
        <is>
          <t>Sports Events</t>
        </is>
      </c>
      <c r="B40" s="12" t="n">
        <v>2</v>
      </c>
      <c r="C40" s="13">
        <f>'Sports Budget'!E2</f>
        <v/>
      </c>
      <c r="D40" s="15" t="n"/>
    </row>
    <row r="41">
      <c r="A41" s="16" t="inlineStr">
        <is>
          <t>GRAND TOTAL (ex-VAT)</t>
        </is>
      </c>
      <c r="B41" s="16" t="n"/>
      <c r="C41" s="17">
        <f>'Financial Proposal'!E387</f>
        <v/>
      </c>
      <c r="D41" s="16" t="n"/>
    </row>
    <row r="42">
      <c r="A42" s="11" t="inlineStr">
        <is>
          <t>VAT (15%)</t>
        </is>
      </c>
      <c r="B42" s="15" t="n"/>
      <c r="C42" s="18">
        <f>C41*0.15</f>
        <v/>
      </c>
      <c r="D42" s="15" t="n"/>
    </row>
    <row r="43">
      <c r="A43" s="19" t="inlineStr">
        <is>
          <t>★ GRAND TOTAL (inc. VAT)</t>
        </is>
      </c>
      <c r="B43" s="19" t="n"/>
      <c r="C43" s="20">
        <f>C41+C42</f>
        <v/>
      </c>
      <c r="D43" s="19" t="n"/>
    </row>
  </sheetData>
  <mergeCells count="3">
    <mergeCell ref="A34:H34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2B788"/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6" customWidth="1" min="1" max="1"/>
    <col width="32" customWidth="1" min="2" max="2"/>
    <col width="14" customWidth="1" min="3" max="3"/>
    <col width="30" customWidth="1" min="4" max="4"/>
    <col width="35" customWidth="1" min="5" max="5"/>
    <col width="35" customWidth="1" min="6" max="6"/>
    <col width="50" customWidth="1" min="7" max="7"/>
  </cols>
  <sheetData>
    <row r="1">
      <c r="A1" s="1" t="inlineStr">
        <is>
          <t>SERA 2026 — TECHNICAL PROPOSAL (EVENT SPECIFICATIONS)</t>
        </is>
      </c>
    </row>
    <row r="3">
      <c r="A3" s="3" t="inlineStr">
        <is>
          <t>#</t>
        </is>
      </c>
      <c r="B3" s="3" t="inlineStr">
        <is>
          <t>Event Name</t>
        </is>
      </c>
      <c r="C3" s="3" t="inlineStr">
        <is>
          <t>Date</t>
        </is>
      </c>
      <c r="D3" s="3" t="inlineStr">
        <is>
          <t>Venue Recommendation</t>
        </is>
      </c>
      <c r="E3" s="3" t="inlineStr">
        <is>
          <t>Stage &amp; Décor</t>
        </is>
      </c>
      <c r="F3" s="3" t="inlineStr">
        <is>
          <t>Audio-Visual Requirements</t>
        </is>
      </c>
      <c r="G3" s="3" t="inlineStr">
        <is>
          <t>Key Services &amp; Scope</t>
        </is>
      </c>
    </row>
    <row r="4">
      <c r="A4" s="4" t="n">
        <v>1</v>
      </c>
      <c r="B4" s="4" t="inlineStr">
        <is>
          <t>Annual Meeting 2026</t>
        </is>
      </c>
      <c r="C4" s="5" t="inlineStr">
        <is>
          <t>Feb 3</t>
        </is>
      </c>
      <c r="D4" s="5" t="inlineStr">
        <is>
          <t>5-Star Hotel Ballroom (Ritz-Carlton / Four Seasons)</t>
        </is>
      </c>
      <c r="E4" s="5" t="inlineStr">
        <is>
          <t>Stage 8m×5m, branded backdrop, podium with SERA logo</t>
        </is>
      </c>
      <c r="F4" s="5" t="inlineStr">
        <is>
          <t>LED Wall P2.5 5m×3m, Line-array sound, 6 wireless mics, live streaming</t>
        </is>
      </c>
      <c r="G4" s="5" t="inlineStr">
        <is>
          <t>Simultaneous AR/EN translation, Prof. MC, Registration QR system, Photography (2), Videography (2), Printed materials</t>
        </is>
      </c>
    </row>
    <row r="5">
      <c r="A5" s="7" t="n">
        <v>2</v>
      </c>
      <c r="B5" s="7" t="inlineStr">
        <is>
          <t>Employee Appreciation Day</t>
        </is>
      </c>
      <c r="C5" s="8" t="inlineStr">
        <is>
          <t>Mar 2</t>
        </is>
      </c>
      <c r="D5" s="8" t="inlineStr">
        <is>
          <t>5-Star Hotel – Gala round-table setup</t>
        </is>
      </c>
      <c r="E5" s="8" t="inlineStr">
        <is>
          <t>Gala stage, premium décor, uplighting, award pedestals</t>
        </is>
      </c>
      <c r="F5" s="8" t="inlineStr">
        <is>
          <t>Full AV, spotlight for awards, background music system</t>
        </is>
      </c>
      <c r="G5" s="8" t="inlineStr">
        <is>
          <t>12 crystal trophies, Live band (2.5hr), Gift boxes, Prof. MC, Full photo/video team</t>
        </is>
      </c>
    </row>
    <row r="6">
      <c r="A6" s="4" t="n">
        <v>3</v>
      </c>
      <c r="B6" s="4" t="inlineStr">
        <is>
          <t>International Women's Day</t>
        </is>
      </c>
      <c r="C6" s="5" t="inlineStr">
        <is>
          <t>Mar 8</t>
        </is>
      </c>
      <c r="D6" s="5" t="inlineStr">
        <is>
          <t>Boutique venue or hotel ladies' section</t>
        </is>
      </c>
      <c r="E6" s="5" t="inlineStr">
        <is>
          <t>Elegant feminine décor, premium floral arrangements</t>
        </is>
      </c>
      <c r="F6" s="5" t="inlineStr">
        <is>
          <t>Projector, wireless mic, ambient music</t>
        </is>
      </c>
      <c r="G6" s="5" t="inlineStr">
        <is>
          <t>Female keynote + panel (3 speakers), Photo booth, Curated gift bags, Female photographer</t>
        </is>
      </c>
    </row>
    <row r="7">
      <c r="A7" s="7" t="n">
        <v>4</v>
      </c>
      <c r="B7" s="7" t="inlineStr">
        <is>
          <t>Saudi Flag Day</t>
        </is>
      </c>
      <c r="C7" s="8" t="inlineStr">
        <is>
          <t>Mar 11</t>
        </is>
      </c>
      <c r="D7" s="8" t="inlineStr">
        <is>
          <t>SERA HQ – Lobby &amp; outdoor</t>
        </is>
      </c>
      <c r="E7" s="8" t="inlineStr">
        <is>
          <t>Large Saudi flag (5m+), national green/white theme</t>
        </is>
      </c>
      <c r="F7" s="8" t="inlineStr">
        <is>
          <t>Portable sound for anthem + speeches</t>
        </is>
      </c>
      <c r="G7" s="8" t="inlineStr">
        <is>
          <t>Flag ceremony, Commemorative items, Social media live coverage</t>
        </is>
      </c>
    </row>
    <row r="8">
      <c r="A8" s="4" t="n">
        <v>5</v>
      </c>
      <c r="B8" s="4" t="inlineStr">
        <is>
          <t>Ramadan Iftar</t>
        </is>
      </c>
      <c r="C8" s="5" t="inlineStr">
        <is>
          <t>Mid-Mar</t>
        </is>
      </c>
      <c r="D8" s="5" t="inlineStr">
        <is>
          <t>5-Star Hotel Ramadan Tent</t>
        </is>
      </c>
      <c r="E8" s="5" t="inlineStr">
        <is>
          <t>Traditional Ramadan décor: lanterns, crescents, VIP majlis</t>
        </is>
      </c>
      <c r="F8" s="5" t="inlineStr">
        <is>
          <t>Ambient lighting, background system</t>
        </is>
      </c>
      <c r="G8" s="5" t="inlineStr">
        <is>
          <t>Premium Iftar buffet, Oud player, Ramadan gift boxes, Prayer area arrangement</t>
        </is>
      </c>
    </row>
    <row r="9">
      <c r="A9" s="7" t="n">
        <v>6</v>
      </c>
      <c r="B9" s="7" t="inlineStr">
        <is>
          <t>Mother's Day</t>
        </is>
      </c>
      <c r="C9" s="8" t="inlineStr">
        <is>
          <t>Mar 21</t>
        </is>
      </c>
      <c r="D9" s="8" t="inlineStr">
        <is>
          <t>Elegant restaurant private section</t>
        </is>
      </c>
      <c r="E9" s="8" t="inlineStr">
        <is>
          <t>Floral-themed décor, photo area</t>
        </is>
      </c>
      <c r="F9" s="8" t="inlineStr">
        <is>
          <t>Basic sound for music/announcements</t>
        </is>
      </c>
      <c r="G9" s="8" t="inlineStr">
        <is>
          <t>Flower gifts, Special mother gifts, Entertainment, Photography</t>
        </is>
      </c>
    </row>
    <row r="10">
      <c r="A10" s="4" t="n">
        <v>7</v>
      </c>
      <c r="B10" s="4" t="inlineStr">
        <is>
          <t>Eid Al-Fitr Celebration</t>
        </is>
      </c>
      <c r="C10" s="5" t="inlineStr">
        <is>
          <t>Early Apr</t>
        </is>
      </c>
      <c r="D10" s="5" t="inlineStr">
        <is>
          <t>5-Star Hotel Grand Ballroom</t>
        </is>
      </c>
      <c r="E10" s="5" t="inlineStr">
        <is>
          <t>Festive Eid gold/white, large stage, entrance arch</t>
        </is>
      </c>
      <c r="F10" s="5" t="inlineStr">
        <is>
          <t>Full production: LED wall, concert sound, lighting design</t>
        </is>
      </c>
      <c r="G10" s="5" t="inlineStr">
        <is>
          <t>Ardah troupe + live music, Eid gifts, Children's corner (optional), Prof. MC</t>
        </is>
      </c>
    </row>
    <row r="11">
      <c r="A11" s="7" t="n">
        <v>8</v>
      </c>
      <c r="B11" s="7" t="inlineStr">
        <is>
          <t>Creativity &amp; Innovation Day</t>
        </is>
      </c>
      <c r="C11" s="8" t="inlineStr">
        <is>
          <t>Apr 21</t>
        </is>
      </c>
      <c r="D11" s="8" t="inlineStr">
        <is>
          <t>Conference Center</t>
        </is>
      </c>
      <c r="E11" s="8" t="inlineStr">
        <is>
          <t>Main stage + 10 department innovation booths</t>
        </is>
      </c>
      <c r="F11" s="8" t="inlineStr">
        <is>
          <t>Conference AV, booth displays, digital voting</t>
        </is>
      </c>
      <c r="G11" s="8" t="inlineStr">
        <is>
          <t>Keynote speaker, Innovation competition, 7 awards, Interactive voting</t>
        </is>
      </c>
    </row>
    <row r="12">
      <c r="A12" s="4" t="n">
        <v>9</v>
      </c>
      <c r="B12" s="4" t="inlineStr">
        <is>
          <t>International Tea Day</t>
        </is>
      </c>
      <c r="C12" s="5" t="inlineStr">
        <is>
          <t>May 21</t>
        </is>
      </c>
      <c r="D12" s="5" t="inlineStr">
        <is>
          <t>SERA HQ Common Areas</t>
        </is>
      </c>
      <c r="E12" s="5" t="inlineStr">
        <is>
          <t>Tea-themed décor, 3 service stations</t>
        </is>
      </c>
      <c r="F12" s="5" t="inlineStr">
        <is>
          <t>Background music</t>
        </is>
      </c>
      <c r="G12" s="5" t="inlineStr">
        <is>
          <t>Arabic/English/Asian tea stations, Gourmet pairings, Tea culture displays</t>
        </is>
      </c>
    </row>
    <row r="13">
      <c r="A13" s="7" t="n">
        <v>10</v>
      </c>
      <c r="B13" s="7" t="inlineStr">
        <is>
          <t>Blood Donation Day</t>
        </is>
      </c>
      <c r="C13" s="8" t="inlineStr">
        <is>
          <t>Jun 14</t>
        </is>
      </c>
      <c r="D13" s="8" t="inlineStr">
        <is>
          <t>SERA HQ – Medical setup area</t>
        </is>
      </c>
      <c r="E13" s="8" t="inlineStr">
        <is>
          <t>Awareness materials, registration area, recovery zone</t>
        </is>
      </c>
      <c r="F13" s="8" t="inlineStr">
        <is>
          <t>Digital screens with awareness content</t>
        </is>
      </c>
      <c r="G13" s="8" t="inlineStr">
        <is>
          <t>Red Crescent partnership, Pre-event campaign, Donor gifts &amp; certificates</t>
        </is>
      </c>
    </row>
    <row r="14">
      <c r="A14" s="4" t="n">
        <v>11</v>
      </c>
      <c r="B14" s="4" t="inlineStr">
        <is>
          <t>Father's Day</t>
        </is>
      </c>
      <c r="C14" s="5" t="inlineStr">
        <is>
          <t>Jun 15</t>
        </is>
      </c>
      <c r="D14" s="5" t="inlineStr">
        <is>
          <t>Restaurant / Event space</t>
        </is>
      </c>
      <c r="E14" s="5" t="inlineStr">
        <is>
          <t>Celebration décor, activity zone</t>
        </is>
      </c>
      <c r="F14" s="5" t="inlineStr">
        <is>
          <t>Sound system</t>
        </is>
      </c>
      <c r="G14" s="5" t="inlineStr">
        <is>
          <t>Gifts for fathers (50% assumed), Team-building activities</t>
        </is>
      </c>
    </row>
    <row r="15">
      <c r="A15" s="7" t="n">
        <v>12</v>
      </c>
      <c r="B15" s="7" t="inlineStr">
        <is>
          <t>Eid Al-Adha Celebration</t>
        </is>
      </c>
      <c r="C15" s="8" t="inlineStr">
        <is>
          <t>Mid-Jun</t>
        </is>
      </c>
      <c r="D15" s="8" t="inlineStr">
        <is>
          <t>5-Star Hotel Grand Ballroom</t>
        </is>
      </c>
      <c r="E15" s="8" t="inlineStr">
        <is>
          <t>Traditional Arabian Eid theme, large stage</t>
        </is>
      </c>
      <c r="F15" s="8" t="inlineStr">
        <is>
          <t>Full production: LED, concert sound, lighting</t>
        </is>
      </c>
      <c r="G15" s="8" t="inlineStr">
        <is>
          <t>Ardah + live music, Lamb-focused feast, Eid gifts, Prof. MC</t>
        </is>
      </c>
    </row>
    <row r="16">
      <c r="A16" s="4" t="n">
        <v>13</v>
      </c>
      <c r="B16" s="4" t="inlineStr">
        <is>
          <t>Summer SERA (صيف سيرا)</t>
        </is>
      </c>
      <c r="C16" s="5" t="inlineStr">
        <is>
          <t>Jul 20</t>
        </is>
      </c>
      <c r="D16" s="5" t="inlineStr">
        <is>
          <t>Entertainment venue – EVENING ONLY (45°C heat)</t>
        </is>
      </c>
      <c r="E16" s="5" t="inlineStr">
        <is>
          <t>Multi-zone: main stage, kids zone, food area, games</t>
        </is>
      </c>
      <c r="F16" s="5" t="inlineStr">
        <is>
          <t>Concert-grade outdoor sound &amp; lighting</t>
        </is>
      </c>
      <c r="G16" s="5" t="inlineStr">
        <is>
          <t>Headline entertainment, Kids zone, 10 game booths, Food festival, Raffle, Family gifts</t>
        </is>
      </c>
    </row>
    <row r="17">
      <c r="A17" s="7" t="n">
        <v>14</v>
      </c>
      <c r="B17" s="7" t="inlineStr">
        <is>
          <t>World Alzheimer's Day</t>
        </is>
      </c>
      <c r="C17" s="8" t="inlineStr">
        <is>
          <t>Sep 21</t>
        </is>
      </c>
      <c r="D17" s="8" t="inlineStr">
        <is>
          <t>SERA HQ</t>
        </is>
      </c>
      <c r="E17" s="8" t="inlineStr">
        <is>
          <t>Purple awareness theme, info booth</t>
        </is>
      </c>
      <c r="F17" s="8" t="inlineStr">
        <is>
          <t>Presentation setup</t>
        </is>
      </c>
      <c r="G17" s="8" t="inlineStr">
        <is>
          <t>Healthcare expert speaker, Purple ribbons, Awareness displays</t>
        </is>
      </c>
    </row>
    <row r="18">
      <c r="A18" s="4" t="n">
        <v>15</v>
      </c>
      <c r="B18" s="4" t="inlineStr">
        <is>
          <t>Saudi National Day (96th)</t>
        </is>
      </c>
      <c r="C18" s="5" t="inlineStr">
        <is>
          <t>Sep 23</t>
        </is>
      </c>
      <c r="D18" s="5" t="inlineStr">
        <is>
          <t>Premium venue with outdoor option</t>
        </is>
      </c>
      <c r="E18" s="5" t="inlineStr">
        <is>
          <t>Premium green national décor, flags, national symbols</t>
        </is>
      </c>
      <c r="F18" s="5" t="inlineStr">
        <is>
          <t>Full AV production, LED national content, green effects</t>
        </is>
      </c>
      <c r="G18" s="5" t="inlineStr">
        <is>
          <t>Ardah troupe, Cultural acts, National gifts, Green lighting effects. BOOK 3-4 MONTHS AHEAD</t>
        </is>
      </c>
    </row>
    <row r="19">
      <c r="A19" s="7" t="n">
        <v>16</v>
      </c>
      <c r="B19" s="7" t="inlineStr">
        <is>
          <t>International Coffee Day</t>
        </is>
      </c>
      <c r="C19" s="8" t="inlineStr">
        <is>
          <t>Oct 1</t>
        </is>
      </c>
      <c r="D19" s="8" t="inlineStr">
        <is>
          <t>SERA HQ Common Areas</t>
        </is>
      </c>
      <c r="E19" s="8" t="inlineStr">
        <is>
          <t>Coffee-themed décor, 3 stations</t>
        </is>
      </c>
      <c r="F19" s="8" t="inlineStr">
        <is>
          <t>Background music</t>
        </is>
      </c>
      <c r="G19" s="8" t="inlineStr">
        <is>
          <t>Professional barista, Arabic dallah ceremony, Coffee culture displays</t>
        </is>
      </c>
    </row>
    <row r="20">
      <c r="A20" s="4" t="n">
        <v>17</v>
      </c>
      <c r="B20" s="4" t="inlineStr">
        <is>
          <t>Cybersecurity Exhibition</t>
        </is>
      </c>
      <c r="C20" s="5" t="inlineStr">
        <is>
          <t>Oct TBD</t>
        </is>
      </c>
      <c r="D20" s="5" t="inlineStr">
        <is>
          <t>SERA HQ / Conference Center</t>
        </is>
      </c>
      <c r="E20" s="5" t="inlineStr">
        <is>
          <t>6 interactive exhibition booths, demo stations</t>
        </is>
      </c>
      <c r="F20" s="5" t="inlineStr">
        <is>
          <t>Full conference AV, booth monitors, demo equipment</t>
        </is>
      </c>
      <c r="G20" s="5" t="inlineStr">
        <is>
          <t>6 interactive demos, 2 expert speakers, Phishing simulations, Branded giveaways</t>
        </is>
      </c>
    </row>
    <row r="21">
      <c r="A21" s="7" t="n">
        <v>18</v>
      </c>
      <c r="B21" s="7" t="inlineStr">
        <is>
          <t>World Mental Health Day</t>
        </is>
      </c>
      <c r="C21" s="8" t="inlineStr">
        <is>
          <t>Oct 10</t>
        </is>
      </c>
      <c r="D21" s="8" t="inlineStr">
        <is>
          <t>SERA HQ</t>
        </is>
      </c>
      <c r="E21" s="8" t="inlineStr">
        <is>
          <t>Wellness décor, relaxation zone</t>
        </is>
      </c>
      <c r="F21" s="8" t="inlineStr">
        <is>
          <t>Presentation setup, ambient music</t>
        </is>
      </c>
      <c r="G21" s="8" t="inlineStr">
        <is>
          <t>Psychologist speaker, Stress workshop, Relaxation zone (massage chairs), Wellness kits</t>
        </is>
      </c>
    </row>
    <row r="22">
      <c r="A22" s="4" t="n">
        <v>19</v>
      </c>
      <c r="B22" s="4" t="inlineStr">
        <is>
          <t>Quality Day</t>
        </is>
      </c>
      <c r="C22" s="5" t="inlineStr">
        <is>
          <t>Nov 10</t>
        </is>
      </c>
      <c r="D22" s="5" t="inlineStr">
        <is>
          <t>Business Hotel Conference Room</t>
        </is>
      </c>
      <c r="E22" s="5" t="inlineStr">
        <is>
          <t>Award stage, quality showcase display</t>
        </is>
      </c>
      <c r="F22" s="5" t="inlineStr">
        <is>
          <t>Conference AV: screen, sound, podium</t>
        </is>
      </c>
      <c r="G22" s="5" t="inlineStr">
        <is>
          <t>7 quality awards, Best practices presentations, Expert speaker</t>
        </is>
      </c>
    </row>
    <row r="23">
      <c r="A23" s="7" t="n">
        <v>20</v>
      </c>
      <c r="B23" s="7" t="inlineStr">
        <is>
          <t>International Men's Day</t>
        </is>
      </c>
      <c r="C23" s="8" t="inlineStr">
        <is>
          <t>Nov 19</t>
        </is>
      </c>
      <c r="D23" s="8" t="inlineStr">
        <is>
          <t>Event space</t>
        </is>
      </c>
      <c r="E23" s="8" t="inlineStr">
        <is>
          <t>Celebration décor, activity area</t>
        </is>
      </c>
      <c r="F23" s="8" t="inlineStr">
        <is>
          <t>Sound system</t>
        </is>
      </c>
      <c r="G23" s="8" t="inlineStr">
        <is>
          <t>Team competitions, Recognition gifts</t>
        </is>
      </c>
    </row>
    <row r="24">
      <c r="A24" s="4" t="n">
        <v>21</v>
      </c>
      <c r="B24" s="4" t="inlineStr">
        <is>
          <t>Universal Children's Day</t>
        </is>
      </c>
      <c r="C24" s="5" t="inlineStr">
        <is>
          <t>Nov 20</t>
        </is>
      </c>
      <c r="D24" s="5" t="inlineStr">
        <is>
          <t>Family entertainment venue</t>
        </is>
      </c>
      <c r="E24" s="5" t="inlineStr">
        <is>
          <t>Colorful child-friendly décor, safe play areas</t>
        </is>
      </c>
      <c r="F24" s="5" t="inlineStr">
        <is>
          <t>Sound for entertainment</t>
        </is>
      </c>
      <c r="G24" s="5" t="inlineStr">
        <is>
          <t>Professional children's entertainers, Game stations, Gifts for kids</t>
        </is>
      </c>
    </row>
    <row r="25">
      <c r="A25" s="7" t="n">
        <v>22</v>
      </c>
      <c r="B25" s="7" t="inlineStr">
        <is>
          <t>Volunteer Day</t>
        </is>
      </c>
      <c r="C25" s="8" t="inlineStr">
        <is>
          <t>Dec 5</t>
        </is>
      </c>
      <c r="D25" s="8" t="inlineStr">
        <is>
          <t>Community location</t>
        </is>
      </c>
      <c r="E25" s="8" t="inlineStr">
        <is>
          <t>Branded volunteer banner/signage</t>
        </is>
      </c>
      <c r="F25" s="8" t="inlineStr">
        <is>
          <t>None needed</t>
        </is>
      </c>
      <c r="G25" s="8" t="inlineStr">
        <is>
          <t>2 buses transport, Volunteer T-shirts, Activity supplies, Lunch boxes</t>
        </is>
      </c>
    </row>
    <row r="26">
      <c r="A26" s="4" t="n">
        <v>23</v>
      </c>
      <c r="B26" s="4" t="inlineStr">
        <is>
          <t>Anti-Corruption Day</t>
        </is>
      </c>
      <c r="C26" s="5" t="inlineStr">
        <is>
          <t>Dec 9</t>
        </is>
      </c>
      <c r="D26" s="5" t="inlineStr">
        <is>
          <t>SERA HQ</t>
        </is>
      </c>
      <c r="E26" s="5" t="inlineStr">
        <is>
          <t>Integrity pledge wall, information displays</t>
        </is>
      </c>
      <c r="F26" s="5" t="inlineStr">
        <is>
          <t>Presentation AV</t>
        </is>
      </c>
      <c r="G26" s="5" t="inlineStr">
        <is>
          <t>Ethics expert/Nazaha speaker, Pledge signing, Awareness brochures</t>
        </is>
      </c>
    </row>
    <row r="27">
      <c r="A27" s="7" t="n">
        <v>24</v>
      </c>
      <c r="B27" s="7" t="inlineStr">
        <is>
          <t>Arabic Language Day</t>
        </is>
      </c>
      <c r="C27" s="8" t="inlineStr">
        <is>
          <t>Dec 18</t>
        </is>
      </c>
      <c r="D27" s="8" t="inlineStr">
        <is>
          <t>Cultural venue</t>
        </is>
      </c>
      <c r="E27" s="8" t="inlineStr">
        <is>
          <t>Arabic calligraphy displays, poetry corner</t>
        </is>
      </c>
      <c r="F27" s="8" t="inlineStr">
        <is>
          <t>Presentation + ambient Arabic music</t>
        </is>
      </c>
      <c r="G27" s="8" t="inlineStr">
        <is>
          <t>Poet guest, Calligraphy workshop, Poetry recital, Cultural program</t>
        </is>
      </c>
    </row>
    <row r="28">
      <c r="A28" s="4" t="n">
        <v>25</v>
      </c>
      <c r="B28" s="4" t="inlineStr">
        <is>
          <t>Year-End Celebration</t>
        </is>
      </c>
      <c r="C28" s="5" t="inlineStr">
        <is>
          <t>Late Dec</t>
        </is>
      </c>
      <c r="D28" s="5" t="inlineStr">
        <is>
          <t>5-Star Hotel – Premium Gala</t>
        </is>
      </c>
      <c r="E28" s="5" t="inlineStr">
        <is>
          <t>Premium stage, LED lighting design, luxury tables</t>
        </is>
      </c>
      <c r="F28" s="5" t="inlineStr">
        <is>
          <t>Full gala: LED wall, concert sound, designer lighting</t>
        </is>
      </c>
      <c r="G28" s="5" t="inlineStr">
        <is>
          <t>Premium band + acts, 15 annual awards, Year-review video, Premium gifts, Prof. MC. BOOK 3 MONTHS AHEAD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4332"/>
    <outlinePr summaryBelow="1" summaryRight="1"/>
    <pageSetUpPr/>
  </sheetPr>
  <dimension ref="A1:F3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8" customWidth="1" min="3" max="3"/>
    <col width="18" customWidth="1" min="4" max="4"/>
    <col width="20" customWidth="1" min="5" max="5"/>
    <col width="55" customWidth="1" min="6" max="6"/>
  </cols>
  <sheetData>
    <row r="1">
      <c r="A1" s="1" t="inlineStr">
        <is>
          <t>SERA 2026 — FINANCIAL PROPOSAL (DETAILED COST BREAKDOWN)</t>
        </is>
      </c>
    </row>
    <row r="2">
      <c r="A2" s="2" t="inlineStr">
        <is>
          <t>Saudi Electricity Regulatory Authority | Currency: SAR | All Prices EXCLUDE 15% VAT | Agency Commission: 15%</t>
        </is>
      </c>
    </row>
    <row r="5">
      <c r="A5" s="1" t="inlineStr">
        <is>
          <t>Q1 EVENTS</t>
        </is>
      </c>
    </row>
    <row r="6">
      <c r="A6" s="21" t="inlineStr">
        <is>
          <t>EVENT 1: Annual Meeting 2026 | Date: February 3 | Attendance: 300 | 5-Star Hotel Ballroom</t>
        </is>
      </c>
    </row>
    <row r="7">
      <c r="A7" s="3" t="inlineStr">
        <is>
          <t>Cost Item</t>
        </is>
      </c>
      <c r="B7" s="3" t="inlineStr">
        <is>
          <t>Unit</t>
        </is>
      </c>
      <c r="C7" s="3" t="inlineStr">
        <is>
          <t>Qty</t>
        </is>
      </c>
      <c r="D7" s="3" t="inlineStr">
        <is>
          <t>Unit Price (SAR)</t>
        </is>
      </c>
      <c r="E7" s="3" t="inlineStr">
        <is>
          <t>Total (SAR)</t>
        </is>
      </c>
      <c r="F7" s="3" t="inlineStr">
        <is>
          <t>Notes</t>
        </is>
      </c>
    </row>
    <row r="8">
      <c r="A8" s="4" t="inlineStr">
        <is>
          <t>Venue Rental (5-star ballroom, full day)</t>
        </is>
      </c>
      <c r="B8" s="5" t="inlineStr">
        <is>
          <t>Full day</t>
        </is>
      </c>
      <c r="C8" s="5" t="n">
        <v>1</v>
      </c>
      <c r="D8" s="22" t="n">
        <v>58000</v>
      </c>
      <c r="E8" s="23">
        <f>C8*D8</f>
        <v/>
      </c>
      <c r="F8" s="24" t="inlineStr">
        <is>
          <t>Ritz-Carlton / Four Seasons / Fairmont</t>
        </is>
      </c>
    </row>
    <row r="9">
      <c r="A9" s="7" t="inlineStr">
        <is>
          <t>Catering – Premium Lunch Buffet</t>
        </is>
      </c>
      <c r="B9" s="8" t="inlineStr">
        <is>
          <t>Per person</t>
        </is>
      </c>
      <c r="C9" s="8" t="n">
        <v>300</v>
      </c>
      <c r="D9" s="25" t="n">
        <v>270</v>
      </c>
      <c r="E9" s="26">
        <f>C9*D9</f>
        <v/>
      </c>
      <c r="F9" s="27" t="inlineStr">
        <is>
          <t>Premium hotel buffet, 10+ items, live stations</t>
        </is>
      </c>
    </row>
    <row r="10">
      <c r="A10" s="4" t="inlineStr">
        <is>
          <t>Catering – 2x Coffee Breaks</t>
        </is>
      </c>
      <c r="B10" s="5" t="inlineStr">
        <is>
          <t>Per person</t>
        </is>
      </c>
      <c r="C10" s="5" t="n">
        <v>300</v>
      </c>
      <c r="D10" s="22" t="n">
        <v>65</v>
      </c>
      <c r="E10" s="23">
        <f>C10*D10</f>
        <v/>
      </c>
      <c r="F10" s="24" t="inlineStr">
        <is>
          <t>Morning + afternoon break, premium selection</t>
        </is>
      </c>
    </row>
    <row r="11">
      <c r="A11" s="7" t="inlineStr">
        <is>
          <t>Stage &amp; Branded Backdrop (8m x 5m)</t>
        </is>
      </c>
      <c r="B11" s="8" t="inlineStr">
        <is>
          <t>Package</t>
        </is>
      </c>
      <c r="C11" s="8" t="n">
        <v>1</v>
      </c>
      <c r="D11" s="25" t="n">
        <v>24000</v>
      </c>
      <c r="E11" s="26">
        <f>C11*D11</f>
        <v/>
      </c>
      <c r="F11" s="27" t="inlineStr">
        <is>
          <t>Custom SERA branded, modular stage</t>
        </is>
      </c>
    </row>
    <row r="12">
      <c r="A12" s="4" t="inlineStr">
        <is>
          <t>LED Video Wall (P2.5, 5m x 3m)</t>
        </is>
      </c>
      <c r="B12" s="5" t="inlineStr">
        <is>
          <t>Rental</t>
        </is>
      </c>
      <c r="C12" s="5" t="n">
        <v>1</v>
      </c>
      <c r="D12" s="22" t="n">
        <v>18000</v>
      </c>
      <c r="E12" s="23">
        <f>C12*D12</f>
        <v/>
      </c>
      <c r="F12" s="24" t="inlineStr">
        <is>
          <t>With dedicated operator</t>
        </is>
      </c>
    </row>
    <row r="13">
      <c r="A13" s="7" t="inlineStr">
        <is>
          <t>Professional Sound System (Line Array)</t>
        </is>
      </c>
      <c r="B13" s="8" t="inlineStr">
        <is>
          <t>Package</t>
        </is>
      </c>
      <c r="C13" s="8" t="n">
        <v>1</v>
      </c>
      <c r="D13" s="25" t="n">
        <v>12000</v>
      </c>
      <c r="E13" s="26">
        <f>C13*D13</f>
        <v/>
      </c>
      <c r="F13" s="27" t="inlineStr">
        <is>
          <t>Concert-grade + 6 wireless mics + monitors</t>
        </is>
      </c>
    </row>
    <row r="14">
      <c r="A14" s="4" t="inlineStr">
        <is>
          <t>Simultaneous Translation (AR/EN)</t>
        </is>
      </c>
      <c r="B14" s="5" t="inlineStr">
        <is>
          <t>Package</t>
        </is>
      </c>
      <c r="C14" s="5" t="n">
        <v>1</v>
      </c>
      <c r="D14" s="22" t="n">
        <v>18000</v>
      </c>
      <c r="E14" s="23">
        <f>C14*D14</f>
        <v/>
      </c>
      <c r="F14" s="24" t="inlineStr">
        <is>
          <t>2 interpreters + booth + headsets for 300</t>
        </is>
      </c>
    </row>
    <row r="15">
      <c r="A15" s="7" t="inlineStr">
        <is>
          <t>Professional Photography (2 photographers)</t>
        </is>
      </c>
      <c r="B15" s="8" t="inlineStr">
        <is>
          <t>Full day</t>
        </is>
      </c>
      <c r="C15" s="8" t="n">
        <v>1</v>
      </c>
      <c r="D15" s="25" t="n">
        <v>8000</v>
      </c>
      <c r="E15" s="26">
        <f>C15*D15</f>
        <v/>
      </c>
      <c r="F15" s="27" t="inlineStr">
        <is>
          <t>500+ edited high-res photos, 3-day delivery</t>
        </is>
      </c>
    </row>
    <row r="16">
      <c r="A16" s="4" t="inlineStr">
        <is>
          <t>Professional Videography (2 cameras)</t>
        </is>
      </c>
      <c r="B16" s="5" t="inlineStr">
        <is>
          <t>Full day</t>
        </is>
      </c>
      <c r="C16" s="5" t="n">
        <v>1</v>
      </c>
      <c r="D16" s="22" t="n">
        <v>12000</v>
      </c>
      <c r="E16" s="23">
        <f>C16*D16</f>
        <v/>
      </c>
      <c r="F16" s="24" t="inlineStr">
        <is>
          <t>5-min highlight + full event recording, 4K</t>
        </is>
      </c>
    </row>
    <row r="17">
      <c r="A17" s="7" t="inlineStr">
        <is>
          <t>Registration System &amp; Name Badges</t>
        </is>
      </c>
      <c r="B17" s="8" t="inlineStr">
        <is>
          <t>Package</t>
        </is>
      </c>
      <c r="C17" s="8" t="n">
        <v>1</v>
      </c>
      <c r="D17" s="25" t="n">
        <v>6500</v>
      </c>
      <c r="E17" s="26">
        <f>C17*D17</f>
        <v/>
      </c>
      <c r="F17" s="27" t="inlineStr">
        <is>
          <t>Digital QR check-in + printed badges + app</t>
        </is>
      </c>
    </row>
    <row r="18">
      <c r="A18" s="4" t="inlineStr">
        <is>
          <t>Printed Materials (agenda, notepad, pen)</t>
        </is>
      </c>
      <c r="B18" s="5" t="inlineStr">
        <is>
          <t>Per person</t>
        </is>
      </c>
      <c r="C18" s="5" t="n">
        <v>300</v>
      </c>
      <c r="D18" s="22" t="n">
        <v>45</v>
      </c>
      <c r="E18" s="23">
        <f>C18*D18</f>
        <v/>
      </c>
      <c r="F18" s="24" t="inlineStr">
        <is>
          <t>Premium branded stationery set</t>
        </is>
      </c>
    </row>
    <row r="19">
      <c r="A19" s="7" t="inlineStr">
        <is>
          <t>Professional MC (Bilingual AR/EN)</t>
        </is>
      </c>
      <c r="B19" s="8" t="inlineStr">
        <is>
          <t>Full event</t>
        </is>
      </c>
      <c r="C19" s="8" t="n">
        <v>1</v>
      </c>
      <c r="D19" s="25" t="n">
        <v>10000</v>
      </c>
      <c r="E19" s="26">
        <f>C19*D19</f>
        <v/>
      </c>
      <c r="F19" s="27" t="inlineStr">
        <is>
          <t>Experienced corporate MC</t>
        </is>
      </c>
    </row>
    <row r="20">
      <c r="A20" s="4" t="inlineStr">
        <is>
          <t>Event Branding &amp; Design</t>
        </is>
      </c>
      <c r="B20" s="5" t="inlineStr">
        <is>
          <t>Package</t>
        </is>
      </c>
      <c r="C20" s="5" t="n">
        <v>1</v>
      </c>
      <c r="D20" s="22" t="n">
        <v>15000</v>
      </c>
      <c r="E20" s="23">
        <f>C20*D20</f>
        <v/>
      </c>
      <c r="F20" s="24" t="inlineStr">
        <is>
          <t>All materials design, backdrop, badges, agenda, social media kit</t>
        </is>
      </c>
    </row>
    <row r="21">
      <c r="A21" s="7" t="inlineStr">
        <is>
          <t>Welcome Lounge &amp; VIP Hospitality</t>
        </is>
      </c>
      <c r="B21" s="8" t="inlineStr">
        <is>
          <t>Package</t>
        </is>
      </c>
      <c r="C21" s="8" t="n">
        <v>1</v>
      </c>
      <c r="D21" s="25" t="n">
        <v>12000</v>
      </c>
      <c r="E21" s="26">
        <f>C21*D21</f>
        <v/>
      </c>
      <c r="F21" s="27" t="inlineStr">
        <is>
          <t>VIP reception area with premium refreshments</t>
        </is>
      </c>
    </row>
    <row r="22">
      <c r="A22" s="11" t="inlineStr">
        <is>
          <t>Subtotal (Before Commission)</t>
        </is>
      </c>
      <c r="B22" s="15" t="n"/>
      <c r="C22" s="15" t="n"/>
      <c r="D22" s="15" t="n"/>
      <c r="E22" s="13">
        <f>SUM(E8:E21)</f>
        <v/>
      </c>
      <c r="F22" s="15" t="n"/>
    </row>
    <row r="23">
      <c r="A23" s="11" t="inlineStr">
        <is>
          <t>Agency Commission (15%)</t>
        </is>
      </c>
      <c r="B23" s="12" t="inlineStr">
        <is>
          <t>15%</t>
        </is>
      </c>
      <c r="C23" s="15" t="n"/>
      <c r="D23" s="15" t="n"/>
      <c r="E23" s="13">
        <f>E22*0.15</f>
        <v/>
      </c>
      <c r="F23" s="28" t="inlineStr">
        <is>
          <t>Agency management, planning &amp; execution fee</t>
        </is>
      </c>
    </row>
    <row r="24">
      <c r="A24" s="29" t="inlineStr">
        <is>
          <t>▶ EVENT 1: Annual Meeting 2026 – TOTAL</t>
        </is>
      </c>
      <c r="B24" s="29" t="n"/>
      <c r="C24" s="29" t="n"/>
      <c r="D24" s="29" t="n"/>
      <c r="E24" s="30">
        <f>E22+E23</f>
        <v/>
      </c>
      <c r="F24" s="29" t="n"/>
    </row>
    <row r="26">
      <c r="A26" s="21" t="inlineStr">
        <is>
          <t>EVENT 2: Employee Appreciation Day | Date: March 2 | Attendance: 300 | 5-Star Hotel – Evening Gala</t>
        </is>
      </c>
    </row>
    <row r="27">
      <c r="A27" s="3" t="inlineStr">
        <is>
          <t>Cost Item</t>
        </is>
      </c>
      <c r="B27" s="3" t="inlineStr">
        <is>
          <t>Unit</t>
        </is>
      </c>
      <c r="C27" s="3" t="inlineStr">
        <is>
          <t>Qty</t>
        </is>
      </c>
      <c r="D27" s="3" t="inlineStr">
        <is>
          <t>Unit Price (SAR)</t>
        </is>
      </c>
      <c r="E27" s="3" t="inlineStr">
        <is>
          <t>Total (SAR)</t>
        </is>
      </c>
      <c r="F27" s="3" t="inlineStr">
        <is>
          <t>Notes</t>
        </is>
      </c>
    </row>
    <row r="28">
      <c r="A28" s="4" t="inlineStr">
        <is>
          <t>Venue Rental (Gala table setup)</t>
        </is>
      </c>
      <c r="B28" s="5" t="inlineStr">
        <is>
          <t>Evening</t>
        </is>
      </c>
      <c r="C28" s="5" t="n">
        <v>1</v>
      </c>
      <c r="D28" s="22" t="n">
        <v>52000</v>
      </c>
      <c r="E28" s="23">
        <f>C28*D28</f>
        <v/>
      </c>
      <c r="F28" s="24" t="inlineStr">
        <is>
          <t>Ballroom with round-table gala setup</t>
        </is>
      </c>
    </row>
    <row r="29">
      <c r="A29" s="7" t="inlineStr">
        <is>
          <t>Catering – Gala Dinner (3-course plated)</t>
        </is>
      </c>
      <c r="B29" s="8" t="inlineStr">
        <is>
          <t>Per person</t>
        </is>
      </c>
      <c r="C29" s="8" t="n">
        <v>300</v>
      </c>
      <c r="D29" s="25" t="n">
        <v>330</v>
      </c>
      <c r="E29" s="26">
        <f>C29*D29</f>
        <v/>
      </c>
      <c r="F29" s="27" t="inlineStr">
        <is>
          <t>Premium plated service + welcome drinks + dessert bar</t>
        </is>
      </c>
    </row>
    <row r="30">
      <c r="A30" s="4" t="inlineStr">
        <is>
          <t>Live Band Entertainment</t>
        </is>
      </c>
      <c r="B30" s="5" t="inlineStr">
        <is>
          <t>Package</t>
        </is>
      </c>
      <c r="C30" s="5" t="n">
        <v>1</v>
      </c>
      <c r="D30" s="22" t="n">
        <v>22000</v>
      </c>
      <c r="E30" s="23">
        <f>C30*D30</f>
        <v/>
      </c>
      <c r="F30" s="24" t="inlineStr">
        <is>
          <t>Professional band, 2.5-hour set</t>
        </is>
      </c>
    </row>
    <row r="31">
      <c r="A31" s="7" t="inlineStr">
        <is>
          <t>Stage, Gala Décor &amp; Lighting Design</t>
        </is>
      </c>
      <c r="B31" s="8" t="inlineStr">
        <is>
          <t>Package</t>
        </is>
      </c>
      <c r="C31" s="8" t="n">
        <v>1</v>
      </c>
      <c r="D31" s="25" t="n">
        <v>35000</v>
      </c>
      <c r="E31" s="26">
        <f>C31*D31</f>
        <v/>
      </c>
      <c r="F31" s="27" t="inlineStr">
        <is>
          <t>Premium gala theme, centerpieces, uplighting, LED features</t>
        </is>
      </c>
    </row>
    <row r="32">
      <c r="A32" s="4" t="inlineStr">
        <is>
          <t>Awards &amp; Crystal Trophies</t>
        </is>
      </c>
      <c r="B32" s="5" t="inlineStr">
        <is>
          <t>Set of 12</t>
        </is>
      </c>
      <c r="C32" s="5" t="n">
        <v>1</v>
      </c>
      <c r="D32" s="22" t="n">
        <v>12000</v>
      </c>
      <c r="E32" s="23">
        <f>C32*D32</f>
        <v/>
      </c>
      <c r="F32" s="24" t="inlineStr">
        <is>
          <t>12 crystal trophies + certificates + frames + award video</t>
        </is>
      </c>
    </row>
    <row r="33">
      <c r="A33" s="7" t="inlineStr">
        <is>
          <t>Photography &amp; Videography (Full team)</t>
        </is>
      </c>
      <c r="B33" s="8" t="inlineStr">
        <is>
          <t>Package</t>
        </is>
      </c>
      <c r="C33" s="8" t="n">
        <v>1</v>
      </c>
      <c r="D33" s="25" t="n">
        <v>16000</v>
      </c>
      <c r="E33" s="26">
        <f>C33*D33</f>
        <v/>
      </c>
      <c r="F33" s="27" t="inlineStr">
        <is>
          <t>2 photo + 2 video, highlight reel + same-day preview</t>
        </is>
      </c>
    </row>
    <row r="34">
      <c r="A34" s="4" t="inlineStr">
        <is>
          <t>Employee Gift Boxes</t>
        </is>
      </c>
      <c r="B34" s="5" t="inlineStr">
        <is>
          <t>Per person</t>
        </is>
      </c>
      <c r="C34" s="5" t="n">
        <v>300</v>
      </c>
      <c r="D34" s="22" t="n">
        <v>110</v>
      </c>
      <c r="E34" s="23">
        <f>C34*D34</f>
        <v/>
      </c>
      <c r="F34" s="24" t="inlineStr">
        <is>
          <t>Premium appreciation gift set with personalized item</t>
        </is>
      </c>
    </row>
    <row r="35">
      <c r="A35" s="7" t="inlineStr">
        <is>
          <t>Professional MC</t>
        </is>
      </c>
      <c r="B35" s="8" t="inlineStr">
        <is>
          <t>Full event</t>
        </is>
      </c>
      <c r="C35" s="8" t="n">
        <v>1</v>
      </c>
      <c r="D35" s="25" t="n">
        <v>10000</v>
      </c>
      <c r="E35" s="26">
        <f>C35*D35</f>
        <v/>
      </c>
      <c r="F35" s="27" t="inlineStr">
        <is>
          <t>Gala host</t>
        </is>
      </c>
    </row>
    <row r="36">
      <c r="A36" s="4" t="inlineStr">
        <is>
          <t>Event Branding &amp; Design</t>
        </is>
      </c>
      <c r="B36" s="5" t="inlineStr">
        <is>
          <t>Package</t>
        </is>
      </c>
      <c r="C36" s="5" t="n">
        <v>1</v>
      </c>
      <c r="D36" s="22" t="n">
        <v>15000</v>
      </c>
      <c r="E36" s="23">
        <f>C36*D36</f>
        <v/>
      </c>
      <c r="F36" s="24" t="inlineStr">
        <is>
          <t>Invitations, backdrop, table cards, menu cards, signage, social media</t>
        </is>
      </c>
    </row>
    <row r="37">
      <c r="A37" s="11" t="inlineStr">
        <is>
          <t>Subtotal (Before Commission)</t>
        </is>
      </c>
      <c r="B37" s="15" t="n"/>
      <c r="C37" s="15" t="n"/>
      <c r="D37" s="15" t="n"/>
      <c r="E37" s="13">
        <f>SUM(E28:E36)</f>
        <v/>
      </c>
      <c r="F37" s="15" t="n"/>
    </row>
    <row r="38">
      <c r="A38" s="11" t="inlineStr">
        <is>
          <t>Agency Commission (15%)</t>
        </is>
      </c>
      <c r="B38" s="12" t="inlineStr">
        <is>
          <t>15%</t>
        </is>
      </c>
      <c r="C38" s="15" t="n"/>
      <c r="D38" s="15" t="n"/>
      <c r="E38" s="13">
        <f>E37*0.15</f>
        <v/>
      </c>
      <c r="F38" s="28" t="inlineStr">
        <is>
          <t>Agency management, planning &amp; execution fee</t>
        </is>
      </c>
    </row>
    <row r="39">
      <c r="A39" s="29" t="inlineStr">
        <is>
          <t>▶ EVENT 2: Employee Appreciation Day – TOTAL</t>
        </is>
      </c>
      <c r="B39" s="29" t="n"/>
      <c r="C39" s="29" t="n"/>
      <c r="D39" s="29" t="n"/>
      <c r="E39" s="30">
        <f>E37+E38</f>
        <v/>
      </c>
      <c r="F39" s="29" t="n"/>
    </row>
    <row r="41">
      <c r="A41" s="21" t="inlineStr">
        <is>
          <t>EVENT 3: International Women's Day | Date: March 8 | Attendance: 150 | Boutique Venue – Ladies Only</t>
        </is>
      </c>
    </row>
    <row r="42">
      <c r="A42" s="3" t="inlineStr">
        <is>
          <t>Cost Item</t>
        </is>
      </c>
      <c r="B42" s="3" t="inlineStr">
        <is>
          <t>Unit</t>
        </is>
      </c>
      <c r="C42" s="3" t="inlineStr">
        <is>
          <t>Qty</t>
        </is>
      </c>
      <c r="D42" s="3" t="inlineStr">
        <is>
          <t>Unit Price (SAR)</t>
        </is>
      </c>
      <c r="E42" s="3" t="inlineStr">
        <is>
          <t>Total (SAR)</t>
        </is>
      </c>
      <c r="F42" s="3" t="inlineStr">
        <is>
          <t>Notes</t>
        </is>
      </c>
    </row>
    <row r="43">
      <c r="A43" s="4" t="inlineStr">
        <is>
          <t>Venue Rental (Ladies section)</t>
        </is>
      </c>
      <c r="B43" s="5" t="inlineStr">
        <is>
          <t>Half day</t>
        </is>
      </c>
      <c r="C43" s="5" t="n">
        <v>1</v>
      </c>
      <c r="D43" s="22" t="n">
        <v>24000</v>
      </c>
      <c r="E43" s="23">
        <f>C43*D43</f>
        <v/>
      </c>
      <c r="F43" s="24" t="inlineStr">
        <is>
          <t>Elegant boutique venue or hotel ladies' space</t>
        </is>
      </c>
    </row>
    <row r="44">
      <c r="A44" s="7" t="inlineStr">
        <is>
          <t>Catering – Ladies' Lunch</t>
        </is>
      </c>
      <c r="B44" s="8" t="inlineStr">
        <is>
          <t>Per person</t>
        </is>
      </c>
      <c r="C44" s="8" t="n">
        <v>150</v>
      </c>
      <c r="D44" s="25" t="n">
        <v>230</v>
      </c>
      <c r="E44" s="26">
        <f>C44*D44</f>
        <v/>
      </c>
      <c r="F44" s="27" t="inlineStr">
        <is>
          <t>Refined plated lunch service + welcome drinks</t>
        </is>
      </c>
    </row>
    <row r="45">
      <c r="A45" s="4" t="inlineStr">
        <is>
          <t>Premium Floral Arrangements</t>
        </is>
      </c>
      <c r="B45" s="5" t="inlineStr">
        <is>
          <t>Package</t>
        </is>
      </c>
      <c r="C45" s="5" t="n">
        <v>1</v>
      </c>
      <c r="D45" s="22" t="n">
        <v>12000</v>
      </c>
      <c r="E45" s="23">
        <f>C45*D45</f>
        <v/>
      </c>
      <c r="F45" s="24" t="inlineStr">
        <is>
          <t>Centerpieces + entrance + stage florals + individual stems</t>
        </is>
      </c>
    </row>
    <row r="46">
      <c r="A46" s="7" t="inlineStr">
        <is>
          <t>Keynote Speaker + Panel (3 speakers)</t>
        </is>
      </c>
      <c r="B46" s="8" t="inlineStr">
        <is>
          <t>Package</t>
        </is>
      </c>
      <c r="C46" s="8" t="n">
        <v>1</v>
      </c>
      <c r="D46" s="25" t="n">
        <v>18000</v>
      </c>
      <c r="E46" s="26">
        <f>C46*D46</f>
        <v/>
      </c>
      <c r="F46" s="27" t="inlineStr">
        <is>
          <t>Female industry leaders</t>
        </is>
      </c>
    </row>
    <row r="47">
      <c r="A47" s="4" t="inlineStr">
        <is>
          <t>Elegant Photo Booth</t>
        </is>
      </c>
      <c r="B47" s="5" t="inlineStr">
        <is>
          <t>Package</t>
        </is>
      </c>
      <c r="C47" s="5" t="n">
        <v>1</v>
      </c>
      <c r="D47" s="22" t="n">
        <v>8000</v>
      </c>
      <c r="E47" s="23">
        <f>C47*D47</f>
        <v/>
      </c>
      <c r="F47" s="24" t="inlineStr">
        <is>
          <t>Premium backdrop, props, instant prints, digital sharing</t>
        </is>
      </c>
    </row>
    <row r="48">
      <c r="A48" s="7" t="inlineStr">
        <is>
          <t>Curated Gift Bags</t>
        </is>
      </c>
      <c r="B48" s="8" t="inlineStr">
        <is>
          <t>Per person</t>
        </is>
      </c>
      <c r="C48" s="8" t="n">
        <v>150</v>
      </c>
      <c r="D48" s="25" t="n">
        <v>135</v>
      </c>
      <c r="E48" s="26">
        <f>C48*D48</f>
        <v/>
      </c>
      <c r="F48" s="27" t="inlineStr">
        <is>
          <t>Skincare, accessories, flowers, personalized card</t>
        </is>
      </c>
    </row>
    <row r="49">
      <c r="A49" s="4" t="inlineStr">
        <is>
          <t>Photography (Female photographer)</t>
        </is>
      </c>
      <c r="B49" s="5" t="inlineStr">
        <is>
          <t>Half day</t>
        </is>
      </c>
      <c r="C49" s="5" t="n">
        <v>1</v>
      </c>
      <c r="D49" s="22" t="n">
        <v>5000</v>
      </c>
      <c r="E49" s="23">
        <f>C49*D49</f>
        <v/>
      </c>
      <c r="F49" s="24" t="inlineStr">
        <is>
          <t>400+ edited photos</t>
        </is>
      </c>
    </row>
    <row r="50">
      <c r="A50" s="7" t="inlineStr">
        <is>
          <t>Event Branding &amp; Design</t>
        </is>
      </c>
      <c r="B50" s="8" t="inlineStr">
        <is>
          <t>Package</t>
        </is>
      </c>
      <c r="C50" s="8" t="n">
        <v>1</v>
      </c>
      <c r="D50" s="25" t="n">
        <v>14000</v>
      </c>
      <c r="E50" s="26">
        <f>C50*D50</f>
        <v/>
      </c>
      <c r="F50" s="27" t="inlineStr">
        <is>
          <t>Invitations, social media kit, signage, digital assets</t>
        </is>
      </c>
    </row>
    <row r="51">
      <c r="A51" s="11" t="inlineStr">
        <is>
          <t>Subtotal (Before Commission)</t>
        </is>
      </c>
      <c r="B51" s="15" t="n"/>
      <c r="C51" s="15" t="n"/>
      <c r="D51" s="15" t="n"/>
      <c r="E51" s="13">
        <f>SUM(E43:E50)</f>
        <v/>
      </c>
      <c r="F51" s="15" t="n"/>
    </row>
    <row r="52">
      <c r="A52" s="11" t="inlineStr">
        <is>
          <t>Agency Commission (15%)</t>
        </is>
      </c>
      <c r="B52" s="12" t="inlineStr">
        <is>
          <t>15%</t>
        </is>
      </c>
      <c r="C52" s="15" t="n"/>
      <c r="D52" s="15" t="n"/>
      <c r="E52" s="13">
        <f>E51*0.15</f>
        <v/>
      </c>
      <c r="F52" s="28" t="inlineStr">
        <is>
          <t>Agency management, planning &amp; execution fee</t>
        </is>
      </c>
    </row>
    <row r="53">
      <c r="A53" s="29" t="inlineStr">
        <is>
          <t>▶ EVENT 3: International Women's Day – TOTAL</t>
        </is>
      </c>
      <c r="B53" s="29" t="n"/>
      <c r="C53" s="29" t="n"/>
      <c r="D53" s="29" t="n"/>
      <c r="E53" s="30">
        <f>E51+E52</f>
        <v/>
      </c>
      <c r="F53" s="29" t="n"/>
    </row>
    <row r="55">
      <c r="A55" s="21" t="inlineStr">
        <is>
          <t>EVENT 4: Saudi Flag Day | Date: March 11 | Attendance: 300 | SERA HQ</t>
        </is>
      </c>
    </row>
    <row r="56">
      <c r="A56" s="3" t="inlineStr">
        <is>
          <t>Cost Item</t>
        </is>
      </c>
      <c r="B56" s="3" t="inlineStr">
        <is>
          <t>Unit</t>
        </is>
      </c>
      <c r="C56" s="3" t="inlineStr">
        <is>
          <t>Qty</t>
        </is>
      </c>
      <c r="D56" s="3" t="inlineStr">
        <is>
          <t>Unit Price (SAR)</t>
        </is>
      </c>
      <c r="E56" s="3" t="inlineStr">
        <is>
          <t>Total (SAR)</t>
        </is>
      </c>
      <c r="F56" s="3" t="inlineStr">
        <is>
          <t>Notes</t>
        </is>
      </c>
    </row>
    <row r="57">
      <c r="A57" s="4" t="inlineStr">
        <is>
          <t>Venue</t>
        </is>
      </c>
      <c r="B57" s="5" t="inlineStr">
        <is>
          <t>SERA HQ</t>
        </is>
      </c>
      <c r="C57" s="5" t="n">
        <v>1</v>
      </c>
      <c r="D57" s="22" t="n">
        <v>0</v>
      </c>
      <c r="E57" s="23">
        <f>C57*D57</f>
        <v/>
      </c>
      <c r="F57" s="24" t="inlineStr">
        <is>
          <t>Internal – no rental cost</t>
        </is>
      </c>
    </row>
    <row r="58">
      <c r="A58" s="7" t="inlineStr">
        <is>
          <t>National Flag Display &amp; Décor</t>
        </is>
      </c>
      <c r="B58" s="8" t="inlineStr">
        <is>
          <t>Package</t>
        </is>
      </c>
      <c r="C58" s="8" t="n">
        <v>1</v>
      </c>
      <c r="D58" s="25" t="n">
        <v>12000</v>
      </c>
      <c r="E58" s="26">
        <f>C58*D58</f>
        <v/>
      </c>
      <c r="F58" s="27" t="inlineStr">
        <is>
          <t>Large flag (5m+), national colors throughout, entrance display</t>
        </is>
      </c>
    </row>
    <row r="59">
      <c r="A59" s="4" t="inlineStr">
        <is>
          <t>Sound System Rental</t>
        </is>
      </c>
      <c r="B59" s="5" t="inlineStr">
        <is>
          <t>Rental</t>
        </is>
      </c>
      <c r="C59" s="5" t="n">
        <v>1</v>
      </c>
      <c r="D59" s="22" t="n">
        <v>5000</v>
      </c>
      <c r="E59" s="23">
        <f>C59*D59</f>
        <v/>
      </c>
      <c r="F59" s="24" t="inlineStr">
        <is>
          <t>For national anthem + speeches + ambient</t>
        </is>
      </c>
    </row>
    <row r="60">
      <c r="A60" s="7" t="inlineStr">
        <is>
          <t>Commemorative Items (pins, badges, flags)</t>
        </is>
      </c>
      <c r="B60" s="8" t="inlineStr">
        <is>
          <t>Per person</t>
        </is>
      </c>
      <c r="C60" s="8" t="n">
        <v>300</v>
      </c>
      <c r="D60" s="25" t="n">
        <v>38</v>
      </c>
      <c r="E60" s="26">
        <f>C60*D60</f>
        <v/>
      </c>
      <c r="F60" s="27" t="inlineStr">
        <is>
          <t>Custom SERA + flag branding, premium quality</t>
        </is>
      </c>
    </row>
    <row r="61">
      <c r="A61" s="4" t="inlineStr">
        <is>
          <t>Light Refreshments</t>
        </is>
      </c>
      <c r="B61" s="5" t="inlineStr">
        <is>
          <t>Per person</t>
        </is>
      </c>
      <c r="C61" s="5" t="n">
        <v>300</v>
      </c>
      <c r="D61" s="22" t="n">
        <v>50</v>
      </c>
      <c r="E61" s="23">
        <f>C61*D61</f>
        <v/>
      </c>
      <c r="F61" s="24" t="inlineStr">
        <is>
          <t>Arabic coffee (dallah), premium dates, Saudi sweets</t>
        </is>
      </c>
    </row>
    <row r="62">
      <c r="A62" s="7" t="inlineStr">
        <is>
          <t>Photography</t>
        </is>
      </c>
      <c r="B62" s="8" t="inlineStr">
        <is>
          <t>2 hours</t>
        </is>
      </c>
      <c r="C62" s="8" t="n">
        <v>1</v>
      </c>
      <c r="D62" s="25" t="n">
        <v>3500</v>
      </c>
      <c r="E62" s="26">
        <f>C62*D62</f>
        <v/>
      </c>
      <c r="F62" s="27" t="inlineStr">
        <is>
          <t>Event documentation</t>
        </is>
      </c>
    </row>
    <row r="63">
      <c r="A63" s="4" t="inlineStr">
        <is>
          <t>Social Media Live Coverage</t>
        </is>
      </c>
      <c r="B63" s="5" t="inlineStr">
        <is>
          <t>Package</t>
        </is>
      </c>
      <c r="C63" s="5" t="n">
        <v>1</v>
      </c>
      <c r="D63" s="22" t="n">
        <v>4500</v>
      </c>
      <c r="E63" s="23">
        <f>C63*D63</f>
        <v/>
      </c>
      <c r="F63" s="24" t="inlineStr">
        <is>
          <t>Real-time posts + stories + reels</t>
        </is>
      </c>
    </row>
    <row r="64">
      <c r="A64" s="7" t="inlineStr">
        <is>
          <t>Event Branding &amp; Design</t>
        </is>
      </c>
      <c r="B64" s="8" t="inlineStr">
        <is>
          <t>Package</t>
        </is>
      </c>
      <c r="C64" s="8" t="n">
        <v>1</v>
      </c>
      <c r="D64" s="25" t="n">
        <v>14000</v>
      </c>
      <c r="E64" s="26">
        <f>C64*D64</f>
        <v/>
      </c>
      <c r="F64" s="27" t="inlineStr">
        <is>
          <t>National day signage, displays, social media, digital assets</t>
        </is>
      </c>
    </row>
    <row r="65">
      <c r="A65" s="11" t="inlineStr">
        <is>
          <t>Subtotal (Before Commission)</t>
        </is>
      </c>
      <c r="B65" s="15" t="n"/>
      <c r="C65" s="15" t="n"/>
      <c r="D65" s="15" t="n"/>
      <c r="E65" s="13">
        <f>SUM(E57:E64)</f>
        <v/>
      </c>
      <c r="F65" s="15" t="n"/>
    </row>
    <row r="66">
      <c r="A66" s="11" t="inlineStr">
        <is>
          <t>Agency Commission (15%)</t>
        </is>
      </c>
      <c r="B66" s="12" t="inlineStr">
        <is>
          <t>15%</t>
        </is>
      </c>
      <c r="C66" s="15" t="n"/>
      <c r="D66" s="15" t="n"/>
      <c r="E66" s="13">
        <f>E65*0.15</f>
        <v/>
      </c>
      <c r="F66" s="28" t="inlineStr">
        <is>
          <t>Agency management, planning &amp; execution fee</t>
        </is>
      </c>
    </row>
    <row r="67">
      <c r="A67" s="29" t="inlineStr">
        <is>
          <t>▶ EVENT 4: Saudi Flag Day – TOTAL</t>
        </is>
      </c>
      <c r="B67" s="29" t="n"/>
      <c r="C67" s="29" t="n"/>
      <c r="D67" s="29" t="n"/>
      <c r="E67" s="30">
        <f>E65+E66</f>
        <v/>
      </c>
      <c r="F67" s="29" t="n"/>
    </row>
    <row r="69">
      <c r="A69" s="21" t="inlineStr">
        <is>
          <t>EVENT 5: Ramadan Iftar | Date: Mid-March | Attendance: 300 | 5-Star Hotel Ramadan Tent</t>
        </is>
      </c>
    </row>
    <row r="70">
      <c r="A70" s="3" t="inlineStr">
        <is>
          <t>Cost Item</t>
        </is>
      </c>
      <c r="B70" s="3" t="inlineStr">
        <is>
          <t>Unit</t>
        </is>
      </c>
      <c r="C70" s="3" t="inlineStr">
        <is>
          <t>Qty</t>
        </is>
      </c>
      <c r="D70" s="3" t="inlineStr">
        <is>
          <t>Unit Price (SAR)</t>
        </is>
      </c>
      <c r="E70" s="3" t="inlineStr">
        <is>
          <t>Total (SAR)</t>
        </is>
      </c>
      <c r="F70" s="3" t="inlineStr">
        <is>
          <t>Notes</t>
        </is>
      </c>
    </row>
    <row r="71">
      <c r="A71" s="4" t="inlineStr">
        <is>
          <t>Iftar Buffet (5-Star Hotel)</t>
        </is>
      </c>
      <c r="B71" s="5" t="inlineStr">
        <is>
          <t>Per person</t>
        </is>
      </c>
      <c r="C71" s="5" t="n">
        <v>300</v>
      </c>
      <c r="D71" s="22" t="n">
        <v>450</v>
      </c>
      <c r="E71" s="23">
        <f>C71*D71</f>
        <v/>
      </c>
      <c r="F71" s="31" t="inlineStr">
        <is>
          <t>[NOTE] Ramadan premium pricing – 20-30% above regular season</t>
        </is>
      </c>
    </row>
    <row r="72">
      <c r="A72" s="7" t="inlineStr">
        <is>
          <t>VIP Seating Upgrade (Senior Leadership)</t>
        </is>
      </c>
      <c r="B72" s="8" t="inlineStr">
        <is>
          <t>Per person</t>
        </is>
      </c>
      <c r="C72" s="8" t="n">
        <v>40</v>
      </c>
      <c r="D72" s="25" t="n">
        <v>220</v>
      </c>
      <c r="E72" s="26">
        <f>C72*D72</f>
        <v/>
      </c>
      <c r="F72" s="32" t="inlineStr">
        <is>
          <t>[NOTE] Assumed 13% VIP guests – confirm with SERA</t>
        </is>
      </c>
    </row>
    <row r="73">
      <c r="A73" s="4" t="inlineStr">
        <is>
          <t>Traditional Entertainment (Oud + Singer)</t>
        </is>
      </c>
      <c r="B73" s="5" t="inlineStr">
        <is>
          <t>Package</t>
        </is>
      </c>
      <c r="C73" s="5" t="n">
        <v>1</v>
      </c>
      <c r="D73" s="22" t="n">
        <v>15000</v>
      </c>
      <c r="E73" s="23">
        <f>C73*D73</f>
        <v/>
      </c>
      <c r="F73" s="24" t="inlineStr">
        <is>
          <t>Oud player + traditional vocalist + Tawashih</t>
        </is>
      </c>
    </row>
    <row r="74">
      <c r="A74" s="7" t="inlineStr">
        <is>
          <t>Ramadan Décor Enhancement</t>
        </is>
      </c>
      <c r="B74" s="8" t="inlineStr">
        <is>
          <t>Package</t>
        </is>
      </c>
      <c r="C74" s="8" t="n">
        <v>1</v>
      </c>
      <c r="D74" s="25" t="n">
        <v>12000</v>
      </c>
      <c r="E74" s="26">
        <f>C74*D74</f>
        <v/>
      </c>
      <c r="F74" s="27" t="inlineStr">
        <is>
          <t>Lanterns, crescents, fabric draping, ambient lighting, entrance</t>
        </is>
      </c>
    </row>
    <row r="75">
      <c r="A75" s="4" t="inlineStr">
        <is>
          <t>Premium Ramadan Gift Boxes</t>
        </is>
      </c>
      <c r="B75" s="5" t="inlineStr">
        <is>
          <t>Per person</t>
        </is>
      </c>
      <c r="C75" s="5" t="n">
        <v>300</v>
      </c>
      <c r="D75" s="22" t="n">
        <v>120</v>
      </c>
      <c r="E75" s="23">
        <f>C75*D75</f>
        <v/>
      </c>
      <c r="F75" s="24" t="inlineStr">
        <is>
          <t>Premium dates, tasbih, Ramadan book, oud, prayer rug</t>
        </is>
      </c>
    </row>
    <row r="76">
      <c r="A76" s="7" t="inlineStr">
        <is>
          <t>Photography &amp; Videography</t>
        </is>
      </c>
      <c r="B76" s="8" t="inlineStr">
        <is>
          <t>Package</t>
        </is>
      </c>
      <c r="C76" s="8" t="n">
        <v>1</v>
      </c>
      <c r="D76" s="25" t="n">
        <v>10000</v>
      </c>
      <c r="E76" s="26">
        <f>C76*D76</f>
        <v/>
      </c>
      <c r="F76" s="27" t="inlineStr">
        <is>
          <t>Evening iftar coverage + highlight reel</t>
        </is>
      </c>
    </row>
    <row r="77">
      <c r="A77" s="4" t="inlineStr">
        <is>
          <t>Event Branding &amp; Design</t>
        </is>
      </c>
      <c r="B77" s="5" t="inlineStr">
        <is>
          <t>Package</t>
        </is>
      </c>
      <c r="C77" s="5" t="n">
        <v>1</v>
      </c>
      <c r="D77" s="22" t="n">
        <v>14000</v>
      </c>
      <c r="E77" s="23">
        <f>C77*D77</f>
        <v/>
      </c>
      <c r="F77" s="24" t="inlineStr">
        <is>
          <t>Ramadan-themed invitations, signage, social media kit, digital assets</t>
        </is>
      </c>
    </row>
    <row r="78">
      <c r="A78" s="11" t="inlineStr">
        <is>
          <t>Subtotal (Before Commission)</t>
        </is>
      </c>
      <c r="B78" s="15" t="n"/>
      <c r="C78" s="15" t="n"/>
      <c r="D78" s="15" t="n"/>
      <c r="E78" s="13">
        <f>SUM(E71:E77)</f>
        <v/>
      </c>
      <c r="F78" s="15" t="n"/>
    </row>
    <row r="79">
      <c r="A79" s="11" t="inlineStr">
        <is>
          <t>Agency Commission (15%)</t>
        </is>
      </c>
      <c r="B79" s="12" t="inlineStr">
        <is>
          <t>15%</t>
        </is>
      </c>
      <c r="C79" s="15" t="n"/>
      <c r="D79" s="15" t="n"/>
      <c r="E79" s="13">
        <f>E78*0.15</f>
        <v/>
      </c>
      <c r="F79" s="28" t="inlineStr">
        <is>
          <t>Agency management, planning &amp; execution fee</t>
        </is>
      </c>
    </row>
    <row r="80">
      <c r="A80" s="29" t="inlineStr">
        <is>
          <t>▶ EVENT 5: Ramadan Iftar – TOTAL</t>
        </is>
      </c>
      <c r="B80" s="29" t="n"/>
      <c r="C80" s="29" t="n"/>
      <c r="D80" s="29" t="n"/>
      <c r="E80" s="30">
        <f>E78+E79</f>
        <v/>
      </c>
      <c r="F80" s="29" t="n"/>
    </row>
    <row r="82">
      <c r="A82" s="21" t="inlineStr">
        <is>
          <t>EVENT 6: Mother's Day | Date: March 21 | Attendance: 130 | Elegant Restaurant</t>
        </is>
      </c>
    </row>
    <row r="83">
      <c r="A83" s="3" t="inlineStr">
        <is>
          <t>Cost Item</t>
        </is>
      </c>
      <c r="B83" s="3" t="inlineStr">
        <is>
          <t>Unit</t>
        </is>
      </c>
      <c r="C83" s="3" t="inlineStr">
        <is>
          <t>Qty</t>
        </is>
      </c>
      <c r="D83" s="3" t="inlineStr">
        <is>
          <t>Unit Price (SAR)</t>
        </is>
      </c>
      <c r="E83" s="3" t="inlineStr">
        <is>
          <t>Total (SAR)</t>
        </is>
      </c>
      <c r="F83" s="3" t="inlineStr">
        <is>
          <t>Notes</t>
        </is>
      </c>
    </row>
    <row r="84">
      <c r="A84" s="4" t="inlineStr">
        <is>
          <t>Venue + Lunch (Private dining)</t>
        </is>
      </c>
      <c r="B84" s="5" t="inlineStr">
        <is>
          <t>Per person</t>
        </is>
      </c>
      <c r="C84" s="5" t="n">
        <v>130</v>
      </c>
      <c r="D84" s="22" t="n">
        <v>280</v>
      </c>
      <c r="E84" s="23">
        <f>C84*D84</f>
        <v/>
      </c>
      <c r="F84" s="24" t="inlineStr">
        <is>
          <t>Private restaurant section, premium setting</t>
        </is>
      </c>
    </row>
    <row r="85">
      <c r="A85" s="7" t="inlineStr">
        <is>
          <t>Individual Flower Bouquet</t>
        </is>
      </c>
      <c r="B85" s="8" t="inlineStr">
        <is>
          <t>Per person</t>
        </is>
      </c>
      <c r="C85" s="8" t="n">
        <v>130</v>
      </c>
      <c r="D85" s="25" t="n">
        <v>75</v>
      </c>
      <c r="E85" s="26">
        <f>C85*D85</f>
        <v/>
      </c>
      <c r="F85" s="27" t="inlineStr">
        <is>
          <t>Premium wrapped bouquet per attendee</t>
        </is>
      </c>
    </row>
    <row r="86">
      <c r="A86" s="4" t="inlineStr">
        <is>
          <t>Special Gift for Mothers</t>
        </is>
      </c>
      <c r="B86" s="5" t="inlineStr">
        <is>
          <t>Per person</t>
        </is>
      </c>
      <c r="C86" s="5" t="n">
        <v>65</v>
      </c>
      <c r="D86" s="22" t="n">
        <v>185</v>
      </c>
      <c r="E86" s="23">
        <f>C86*D86</f>
        <v/>
      </c>
      <c r="F86" s="31" t="inlineStr">
        <is>
          <t>[NOTE] Assumed 50% are mothers – adjust based on SERA data</t>
        </is>
      </c>
    </row>
    <row r="87">
      <c r="A87" s="7" t="inlineStr">
        <is>
          <t>Light Entertainment / Performance</t>
        </is>
      </c>
      <c r="B87" s="8" t="inlineStr">
        <is>
          <t>Package</t>
        </is>
      </c>
      <c r="C87" s="8" t="n">
        <v>1</v>
      </c>
      <c r="D87" s="25" t="n">
        <v>10000</v>
      </c>
      <c r="E87" s="26">
        <f>C87*D87</f>
        <v/>
      </c>
      <c r="F87" s="27" t="inlineStr">
        <is>
          <t>Musical performance + singer</t>
        </is>
      </c>
    </row>
    <row r="88">
      <c r="A88" s="4" t="inlineStr">
        <is>
          <t>Photography</t>
        </is>
      </c>
      <c r="B88" s="5" t="inlineStr">
        <is>
          <t>3 hours</t>
        </is>
      </c>
      <c r="C88" s="5" t="n">
        <v>1</v>
      </c>
      <c r="D88" s="22" t="n">
        <v>4500</v>
      </c>
      <c r="E88" s="23">
        <f>C88*D88</f>
        <v/>
      </c>
      <c r="F88" s="24" t="inlineStr">
        <is>
          <t>Event coverage</t>
        </is>
      </c>
    </row>
    <row r="89">
      <c r="A89" s="7" t="inlineStr">
        <is>
          <t>Event Branding &amp; Design</t>
        </is>
      </c>
      <c r="B89" s="8" t="inlineStr">
        <is>
          <t>Package</t>
        </is>
      </c>
      <c r="C89" s="8" t="n">
        <v>1</v>
      </c>
      <c r="D89" s="25" t="n">
        <v>14000</v>
      </c>
      <c r="E89" s="26">
        <f>C89*D89</f>
        <v/>
      </c>
      <c r="F89" s="27" t="inlineStr">
        <is>
          <t>Invitations, signage, cards, social media kit, digital assets</t>
        </is>
      </c>
    </row>
    <row r="90">
      <c r="A90" s="11" t="inlineStr">
        <is>
          <t>Subtotal (Before Commission)</t>
        </is>
      </c>
      <c r="B90" s="15" t="n"/>
      <c r="C90" s="15" t="n"/>
      <c r="D90" s="15" t="n"/>
      <c r="E90" s="13">
        <f>SUM(E84:E89)</f>
        <v/>
      </c>
      <c r="F90" s="15" t="n"/>
    </row>
    <row r="91">
      <c r="A91" s="11" t="inlineStr">
        <is>
          <t>Agency Commission (15%)</t>
        </is>
      </c>
      <c r="B91" s="12" t="inlineStr">
        <is>
          <t>15%</t>
        </is>
      </c>
      <c r="C91" s="15" t="n"/>
      <c r="D91" s="15" t="n"/>
      <c r="E91" s="13">
        <f>E90*0.15</f>
        <v/>
      </c>
      <c r="F91" s="28" t="inlineStr">
        <is>
          <t>Agency management, planning &amp; execution fee</t>
        </is>
      </c>
    </row>
    <row r="92">
      <c r="A92" s="29" t="inlineStr">
        <is>
          <t>▶ EVENT 6: Mother's Day – TOTAL</t>
        </is>
      </c>
      <c r="B92" s="29" t="n"/>
      <c r="C92" s="29" t="n"/>
      <c r="D92" s="29" t="n"/>
      <c r="E92" s="30">
        <f>E90+E91</f>
        <v/>
      </c>
      <c r="F92" s="29" t="n"/>
    </row>
    <row r="95">
      <c r="A95" s="1" t="inlineStr">
        <is>
          <t>Q2 EVENTS</t>
        </is>
      </c>
    </row>
    <row r="96">
      <c r="A96" s="21" t="inlineStr">
        <is>
          <t>EVENT 7: Eid Al-Fitr Celebration | Date: Early April | Attendance: 300 | 5-Star Hotel – Grand Gala</t>
        </is>
      </c>
    </row>
    <row r="97">
      <c r="A97" s="3" t="inlineStr">
        <is>
          <t>Cost Item</t>
        </is>
      </c>
      <c r="B97" s="3" t="inlineStr">
        <is>
          <t>Unit</t>
        </is>
      </c>
      <c r="C97" s="3" t="inlineStr">
        <is>
          <t>Qty</t>
        </is>
      </c>
      <c r="D97" s="3" t="inlineStr">
        <is>
          <t>Unit Price (SAR)</t>
        </is>
      </c>
      <c r="E97" s="3" t="inlineStr">
        <is>
          <t>Total (SAR)</t>
        </is>
      </c>
      <c r="F97" s="3" t="inlineStr">
        <is>
          <t>Notes</t>
        </is>
      </c>
    </row>
    <row r="98">
      <c r="A98" s="4" t="inlineStr">
        <is>
          <t>Venue Rental (Grand Ballroom)</t>
        </is>
      </c>
      <c r="B98" s="5" t="inlineStr">
        <is>
          <t>Evening</t>
        </is>
      </c>
      <c r="C98" s="5" t="n">
        <v>1</v>
      </c>
      <c r="D98" s="22" t="n">
        <v>58000</v>
      </c>
      <c r="E98" s="23">
        <f>C98*D98</f>
        <v/>
      </c>
      <c r="F98" s="24" t="inlineStr">
        <is>
          <t>Premium 5-star hotel, premium setup</t>
        </is>
      </c>
    </row>
    <row r="99">
      <c r="A99" s="7" t="inlineStr">
        <is>
          <t>Catering – Eid Gala Dinner</t>
        </is>
      </c>
      <c r="B99" s="8" t="inlineStr">
        <is>
          <t>Per person</t>
        </is>
      </c>
      <c r="C99" s="8" t="n">
        <v>300</v>
      </c>
      <c r="D99" s="25" t="n">
        <v>360</v>
      </c>
      <c r="E99" s="26">
        <f>C99*D99</f>
        <v/>
      </c>
      <c r="F99" s="27" t="inlineStr">
        <is>
          <t>Eid special menu + live cooking stations + dessert bar</t>
        </is>
      </c>
    </row>
    <row r="100">
      <c r="A100" s="4" t="inlineStr">
        <is>
          <t>Stage &amp; Full Eid Décor (Gold/White theme)</t>
        </is>
      </c>
      <c r="B100" s="5" t="inlineStr">
        <is>
          <t>Package</t>
        </is>
      </c>
      <c r="C100" s="5" t="n">
        <v>1</v>
      </c>
      <c r="D100" s="22" t="n">
        <v>42000</v>
      </c>
      <c r="E100" s="23">
        <f>C100*D100</f>
        <v/>
      </c>
      <c r="F100" s="24" t="inlineStr">
        <is>
          <t>Premium festive Eid decoration + entrance arch + lighting</t>
        </is>
      </c>
    </row>
    <row r="101">
      <c r="A101" s="7" t="inlineStr">
        <is>
          <t>Entertainment – Ardah + Live Music</t>
        </is>
      </c>
      <c r="B101" s="8" t="inlineStr">
        <is>
          <t>Package</t>
        </is>
      </c>
      <c r="C101" s="8" t="n">
        <v>1</v>
      </c>
      <c r="D101" s="25" t="n">
        <v>30000</v>
      </c>
      <c r="E101" s="26">
        <f>C101*D101</f>
        <v/>
      </c>
      <c r="F101" s="27" t="inlineStr">
        <is>
          <t>Traditional Ardah troupe + modern band</t>
        </is>
      </c>
    </row>
    <row r="102">
      <c r="A102" s="4" t="inlineStr">
        <is>
          <t>LED Video Wall &amp; Full AV Production</t>
        </is>
      </c>
      <c r="B102" s="5" t="inlineStr">
        <is>
          <t>Package</t>
        </is>
      </c>
      <c r="C102" s="5" t="n">
        <v>1</v>
      </c>
      <c r="D102" s="22" t="n">
        <v>22000</v>
      </c>
      <c r="E102" s="23">
        <f>C102*D102</f>
        <v/>
      </c>
      <c r="F102" s="24" t="inlineStr">
        <is>
          <t>Full stage production, lighting design, effects</t>
        </is>
      </c>
    </row>
    <row r="103">
      <c r="A103" s="7" t="inlineStr">
        <is>
          <t>Photography &amp; Videography (Full team)</t>
        </is>
      </c>
      <c r="B103" s="8" t="inlineStr">
        <is>
          <t>Package</t>
        </is>
      </c>
      <c r="C103" s="8" t="n">
        <v>1</v>
      </c>
      <c r="D103" s="25" t="n">
        <v>18000</v>
      </c>
      <c r="E103" s="26">
        <f>C103*D103</f>
        <v/>
      </c>
      <c r="F103" s="27" t="inlineStr">
        <is>
          <t>Complete coverage, same-day preview, highlight reel</t>
        </is>
      </c>
    </row>
    <row r="104">
      <c r="A104" s="4" t="inlineStr">
        <is>
          <t>Eid Employee Gift Boxes</t>
        </is>
      </c>
      <c r="B104" s="5" t="inlineStr">
        <is>
          <t>Per person</t>
        </is>
      </c>
      <c r="C104" s="5" t="n">
        <v>300</v>
      </c>
      <c r="D104" s="22" t="n">
        <v>155</v>
      </c>
      <c r="E104" s="23">
        <f>C104*D104</f>
        <v/>
      </c>
      <c r="F104" s="24" t="inlineStr">
        <is>
          <t>Premium Eid gift box with personalized item</t>
        </is>
      </c>
    </row>
    <row r="105">
      <c r="A105" s="7" t="inlineStr">
        <is>
          <t>Children's Corner</t>
        </is>
      </c>
      <c r="B105" s="8" t="inlineStr">
        <is>
          <t>Package</t>
        </is>
      </c>
      <c r="C105" s="8" t="n">
        <v>1</v>
      </c>
      <c r="D105" s="25" t="n">
        <v>15000</v>
      </c>
      <c r="E105" s="26">
        <f>C105*D105</f>
        <v/>
      </c>
      <c r="F105" s="32" t="inlineStr">
        <is>
          <t>[NOTE] Optional – only if families invited. Confirm with SERA</t>
        </is>
      </c>
    </row>
    <row r="106">
      <c r="A106" s="4" t="inlineStr">
        <is>
          <t>Professional MC (Bilingual)</t>
        </is>
      </c>
      <c r="B106" s="5" t="inlineStr">
        <is>
          <t>Full event</t>
        </is>
      </c>
      <c r="C106" s="5" t="n">
        <v>1</v>
      </c>
      <c r="D106" s="22" t="n">
        <v>12000</v>
      </c>
      <c r="E106" s="23">
        <f>C106*D106</f>
        <v/>
      </c>
      <c r="F106" s="24" t="inlineStr">
        <is>
          <t>Eid gala host</t>
        </is>
      </c>
    </row>
    <row r="107">
      <c r="A107" s="7" t="inlineStr">
        <is>
          <t>Event Branding &amp; Design</t>
        </is>
      </c>
      <c r="B107" s="8" t="inlineStr">
        <is>
          <t>Package</t>
        </is>
      </c>
      <c r="C107" s="8" t="n">
        <v>1</v>
      </c>
      <c r="D107" s="25" t="n">
        <v>16000</v>
      </c>
      <c r="E107" s="26">
        <f>C107*D107</f>
        <v/>
      </c>
      <c r="F107" s="27" t="inlineStr">
        <is>
          <t>Eid-themed invites, backdrop, social media kit, signage, digital assets</t>
        </is>
      </c>
    </row>
    <row r="108">
      <c r="A108" s="11" t="inlineStr">
        <is>
          <t>Subtotal (Before Commission)</t>
        </is>
      </c>
      <c r="B108" s="15" t="n"/>
      <c r="C108" s="15" t="n"/>
      <c r="D108" s="15" t="n"/>
      <c r="E108" s="13">
        <f>SUM(E98:E107)</f>
        <v/>
      </c>
      <c r="F108" s="15" t="n"/>
    </row>
    <row r="109">
      <c r="A109" s="11" t="inlineStr">
        <is>
          <t>Agency Commission (15%)</t>
        </is>
      </c>
      <c r="B109" s="12" t="inlineStr">
        <is>
          <t>15%</t>
        </is>
      </c>
      <c r="C109" s="15" t="n"/>
      <c r="D109" s="15" t="n"/>
      <c r="E109" s="13">
        <f>E108*0.15</f>
        <v/>
      </c>
      <c r="F109" s="28" t="inlineStr">
        <is>
          <t>Agency management, planning &amp; execution fee</t>
        </is>
      </c>
    </row>
    <row r="110">
      <c r="A110" s="29" t="inlineStr">
        <is>
          <t>▶ EVENT 7: Eid Al-Fitr Celebration – TOTAL</t>
        </is>
      </c>
      <c r="B110" s="29" t="n"/>
      <c r="C110" s="29" t="n"/>
      <c r="D110" s="29" t="n"/>
      <c r="E110" s="30">
        <f>E108+E109</f>
        <v/>
      </c>
      <c r="F110" s="29" t="n"/>
    </row>
    <row r="112">
      <c r="A112" s="21" t="inlineStr">
        <is>
          <t>EVENT 8: Creativity &amp; Innovation Day | Date: April 21 | Attendance: 200 | Conference Center</t>
        </is>
      </c>
    </row>
    <row r="113">
      <c r="A113" s="3" t="inlineStr">
        <is>
          <t>Cost Item</t>
        </is>
      </c>
      <c r="B113" s="3" t="inlineStr">
        <is>
          <t>Unit</t>
        </is>
      </c>
      <c r="C113" s="3" t="inlineStr">
        <is>
          <t>Qty</t>
        </is>
      </c>
      <c r="D113" s="3" t="inlineStr">
        <is>
          <t>Unit Price (SAR)</t>
        </is>
      </c>
      <c r="E113" s="3" t="inlineStr">
        <is>
          <t>Total (SAR)</t>
        </is>
      </c>
      <c r="F113" s="3" t="inlineStr">
        <is>
          <t>Notes</t>
        </is>
      </c>
    </row>
    <row r="114">
      <c r="A114" s="4" t="inlineStr">
        <is>
          <t>Venue Rental (Conference + Exhibition)</t>
        </is>
      </c>
      <c r="B114" s="5" t="inlineStr">
        <is>
          <t>Full day</t>
        </is>
      </c>
      <c r="C114" s="5" t="n">
        <v>1</v>
      </c>
      <c r="D114" s="22" t="n">
        <v>38000</v>
      </c>
      <c r="E114" s="23">
        <f>C114*D114</f>
        <v/>
      </c>
      <c r="F114" s="24" t="inlineStr">
        <is>
          <t>Conference center or business hotel with exhibition space</t>
        </is>
      </c>
    </row>
    <row r="115">
      <c r="A115" s="7" t="inlineStr">
        <is>
          <t>Catering (Lunch + 2 Coffee Breaks)</t>
        </is>
      </c>
      <c r="B115" s="8" t="inlineStr">
        <is>
          <t>Per person</t>
        </is>
      </c>
      <c r="C115" s="8" t="n">
        <v>200</v>
      </c>
      <c r="D115" s="25" t="n">
        <v>200</v>
      </c>
      <c r="E115" s="26">
        <f>C115*D115</f>
        <v/>
      </c>
      <c r="F115" s="27" t="inlineStr">
        <is>
          <t>Full-day premium package</t>
        </is>
      </c>
    </row>
    <row r="116">
      <c r="A116" s="4" t="inlineStr">
        <is>
          <t>Innovation Showcase Booths (10 depts)</t>
        </is>
      </c>
      <c r="B116" s="5" t="inlineStr">
        <is>
          <t>Per booth</t>
        </is>
      </c>
      <c r="C116" s="5" t="n">
        <v>10</v>
      </c>
      <c r="D116" s="22" t="n">
        <v>5500</v>
      </c>
      <c r="E116" s="23">
        <f>C116*D116</f>
        <v/>
      </c>
      <c r="F116" s="24" t="inlineStr">
        <is>
          <t>Custom booth design + displays + lighting + interactive</t>
        </is>
      </c>
    </row>
    <row r="117">
      <c r="A117" s="7" t="inlineStr">
        <is>
          <t>Main Stage &amp; Presentation Setup</t>
        </is>
      </c>
      <c r="B117" s="8" t="inlineStr">
        <is>
          <t>Package</t>
        </is>
      </c>
      <c r="C117" s="8" t="n">
        <v>1</v>
      </c>
      <c r="D117" s="25" t="n">
        <v>18000</v>
      </c>
      <c r="E117" s="26">
        <f>C117*D117</f>
        <v/>
      </c>
      <c r="F117" s="27" t="inlineStr">
        <is>
          <t>Stage, LED screen, sound, podium</t>
        </is>
      </c>
    </row>
    <row r="118">
      <c r="A118" s="4" t="inlineStr">
        <is>
          <t>Innovation Awards &amp; Trophies</t>
        </is>
      </c>
      <c r="B118" s="5" t="inlineStr">
        <is>
          <t>Set of 7</t>
        </is>
      </c>
      <c r="C118" s="5" t="n">
        <v>1</v>
      </c>
      <c r="D118" s="22" t="n">
        <v>10000</v>
      </c>
      <c r="E118" s="23">
        <f>C118*D118</f>
        <v/>
      </c>
      <c r="F118" s="24" t="inlineStr">
        <is>
          <t>7 innovation category crystal awards + certificates</t>
        </is>
      </c>
    </row>
    <row r="119">
      <c r="A119" s="7" t="inlineStr">
        <is>
          <t>Keynote Speaker (Innovation Expert)</t>
        </is>
      </c>
      <c r="B119" s="8" t="inlineStr">
        <is>
          <t>Fee</t>
        </is>
      </c>
      <c r="C119" s="8" t="n">
        <v>1</v>
      </c>
      <c r="D119" s="25" t="n">
        <v>25000</v>
      </c>
      <c r="E119" s="26">
        <f>C119*D119</f>
        <v/>
      </c>
      <c r="F119" s="32" t="inlineStr">
        <is>
          <t>[NOTE] Industry expert – price varies by profile</t>
        </is>
      </c>
    </row>
    <row r="120">
      <c r="A120" s="4" t="inlineStr">
        <is>
          <t>Digital Voting / Interactive System</t>
        </is>
      </c>
      <c r="B120" s="5" t="inlineStr">
        <is>
          <t>Rental</t>
        </is>
      </c>
      <c r="C120" s="5" t="n">
        <v>1</v>
      </c>
      <c r="D120" s="22" t="n">
        <v>8000</v>
      </c>
      <c r="E120" s="23">
        <f>C120*D120</f>
        <v/>
      </c>
      <c r="F120" s="24" t="inlineStr">
        <is>
          <t>Audience votes + live results display on screen</t>
        </is>
      </c>
    </row>
    <row r="121">
      <c r="A121" s="7" t="inlineStr">
        <is>
          <t>Photography &amp; Videography</t>
        </is>
      </c>
      <c r="B121" s="8" t="inlineStr">
        <is>
          <t>Package</t>
        </is>
      </c>
      <c r="C121" s="8" t="n">
        <v>1</v>
      </c>
      <c r="D121" s="25" t="n">
        <v>12000</v>
      </c>
      <c r="E121" s="26">
        <f>C121*D121</f>
        <v/>
      </c>
      <c r="F121" s="27" t="inlineStr">
        <is>
          <t>Full day coverage + innovation showcase stories</t>
        </is>
      </c>
    </row>
    <row r="122">
      <c r="A122" s="4" t="inlineStr">
        <is>
          <t>Event Branding &amp; Design</t>
        </is>
      </c>
      <c r="B122" s="5" t="inlineStr">
        <is>
          <t>Package</t>
        </is>
      </c>
      <c r="C122" s="5" t="n">
        <v>1</v>
      </c>
      <c r="D122" s="22" t="n">
        <v>15000</v>
      </c>
      <c r="E122" s="23">
        <f>C122*D122</f>
        <v/>
      </c>
      <c r="F122" s="24" t="inlineStr">
        <is>
          <t>Booth templates, signage, programs, badges, digital content</t>
        </is>
      </c>
    </row>
    <row r="123">
      <c r="A123" s="11" t="inlineStr">
        <is>
          <t>Subtotal (Before Commission)</t>
        </is>
      </c>
      <c r="B123" s="15" t="n"/>
      <c r="C123" s="15" t="n"/>
      <c r="D123" s="15" t="n"/>
      <c r="E123" s="13">
        <f>SUM(E114:E122)</f>
        <v/>
      </c>
      <c r="F123" s="15" t="n"/>
    </row>
    <row r="124">
      <c r="A124" s="11" t="inlineStr">
        <is>
          <t>Agency Commission (15%)</t>
        </is>
      </c>
      <c r="B124" s="12" t="inlineStr">
        <is>
          <t>15%</t>
        </is>
      </c>
      <c r="C124" s="15" t="n"/>
      <c r="D124" s="15" t="n"/>
      <c r="E124" s="13">
        <f>E123*0.15</f>
        <v/>
      </c>
      <c r="F124" s="28" t="inlineStr">
        <is>
          <t>Agency management, planning &amp; execution fee</t>
        </is>
      </c>
    </row>
    <row r="125">
      <c r="A125" s="29" t="inlineStr">
        <is>
          <t>▶ EVENT 8: Creativity &amp; Innovation Day – TOTAL</t>
        </is>
      </c>
      <c r="B125" s="29" t="n"/>
      <c r="C125" s="29" t="n"/>
      <c r="D125" s="29" t="n"/>
      <c r="E125" s="30">
        <f>E123+E124</f>
        <v/>
      </c>
      <c r="F125" s="29" t="n"/>
    </row>
    <row r="127">
      <c r="A127" s="21" t="inlineStr">
        <is>
          <t>EVENT 9: International Tea Day | Date: May 21 | Attendance: 250 | SERA HQ</t>
        </is>
      </c>
    </row>
    <row r="128">
      <c r="A128" s="3" t="inlineStr">
        <is>
          <t>Cost Item</t>
        </is>
      </c>
      <c r="B128" s="3" t="inlineStr">
        <is>
          <t>Unit</t>
        </is>
      </c>
      <c r="C128" s="3" t="inlineStr">
        <is>
          <t>Qty</t>
        </is>
      </c>
      <c r="D128" s="3" t="inlineStr">
        <is>
          <t>Unit Price (SAR)</t>
        </is>
      </c>
      <c r="E128" s="3" t="inlineStr">
        <is>
          <t>Total (SAR)</t>
        </is>
      </c>
      <c r="F128" s="3" t="inlineStr">
        <is>
          <t>Notes</t>
        </is>
      </c>
    </row>
    <row r="129">
      <c r="A129" s="4" t="inlineStr">
        <is>
          <t>Venue</t>
        </is>
      </c>
      <c r="B129" s="5" t="inlineStr">
        <is>
          <t>SERA HQ</t>
        </is>
      </c>
      <c r="C129" s="5" t="n">
        <v>1</v>
      </c>
      <c r="D129" s="22" t="n">
        <v>0</v>
      </c>
      <c r="E129" s="23">
        <f>C129*D129</f>
        <v/>
      </c>
      <c r="F129" s="24" t="inlineStr">
        <is>
          <t>Internal – no cost</t>
        </is>
      </c>
    </row>
    <row r="130">
      <c r="A130" s="7" t="inlineStr">
        <is>
          <t>Professional Tea Stations (3 types)</t>
        </is>
      </c>
      <c r="B130" s="8" t="inlineStr">
        <is>
          <t>Package</t>
        </is>
      </c>
      <c r="C130" s="8" t="n">
        <v>1</v>
      </c>
      <c r="D130" s="25" t="n">
        <v>20000</v>
      </c>
      <c r="E130" s="26">
        <f>C130*D130</f>
        <v/>
      </c>
      <c r="F130" s="27" t="inlineStr">
        <is>
          <t>Arabic, English high tea, Asian ceremony with experts</t>
        </is>
      </c>
    </row>
    <row r="131">
      <c r="A131" s="4" t="inlineStr">
        <is>
          <t>Tea Snacks &amp; Gourmet Pastries</t>
        </is>
      </c>
      <c r="B131" s="5" t="inlineStr">
        <is>
          <t>Per person</t>
        </is>
      </c>
      <c r="C131" s="5" t="n">
        <v>250</v>
      </c>
      <c r="D131" s="22" t="n">
        <v>50</v>
      </c>
      <c r="E131" s="23">
        <f>C131*D131</f>
        <v/>
      </c>
      <c r="F131" s="24" t="inlineStr">
        <is>
          <t>Curated tea pairings, premium pastries</t>
        </is>
      </c>
    </row>
    <row r="132">
      <c r="A132" s="7" t="inlineStr">
        <is>
          <t>Tea-Themed Décor &amp; Setup</t>
        </is>
      </c>
      <c r="B132" s="8" t="inlineStr">
        <is>
          <t>Package</t>
        </is>
      </c>
      <c r="C132" s="8" t="n">
        <v>1</v>
      </c>
      <c r="D132" s="25" t="n">
        <v>8000</v>
      </c>
      <c r="E132" s="26">
        <f>C132*D132</f>
        <v/>
      </c>
      <c r="F132" s="27" t="inlineStr">
        <is>
          <t>Full theming of common area</t>
        </is>
      </c>
    </row>
    <row r="133">
      <c r="A133" s="4" t="inlineStr">
        <is>
          <t>Educational Materials &amp; Displays</t>
        </is>
      </c>
      <c r="B133" s="5" t="inlineStr">
        <is>
          <t>Package</t>
        </is>
      </c>
      <c r="C133" s="5" t="n">
        <v>1</v>
      </c>
      <c r="D133" s="22" t="n">
        <v>4000</v>
      </c>
      <c r="E133" s="23">
        <f>C133*D133</f>
        <v/>
      </c>
      <c r="F133" s="24" t="inlineStr">
        <is>
          <t>Tea culture info + branding + takeaway samples</t>
        </is>
      </c>
    </row>
    <row r="134">
      <c r="A134" s="7" t="inlineStr">
        <is>
          <t>Photography</t>
        </is>
      </c>
      <c r="B134" s="8" t="inlineStr">
        <is>
          <t>2 hours</t>
        </is>
      </c>
      <c r="C134" s="8" t="n">
        <v>1</v>
      </c>
      <c r="D134" s="25" t="n">
        <v>3500</v>
      </c>
      <c r="E134" s="26">
        <f>C134*D134</f>
        <v/>
      </c>
      <c r="F134" s="27" t="inlineStr">
        <is>
          <t>Event coverage</t>
        </is>
      </c>
    </row>
    <row r="135">
      <c r="A135" s="11" t="inlineStr">
        <is>
          <t>Subtotal (Before Commission)</t>
        </is>
      </c>
      <c r="B135" s="15" t="n"/>
      <c r="C135" s="15" t="n"/>
      <c r="D135" s="15" t="n"/>
      <c r="E135" s="13">
        <f>SUM(E129:E134)</f>
        <v/>
      </c>
      <c r="F135" s="15" t="n"/>
    </row>
    <row r="136">
      <c r="A136" s="11" t="inlineStr">
        <is>
          <t>Agency Commission (15%)</t>
        </is>
      </c>
      <c r="B136" s="12" t="inlineStr">
        <is>
          <t>15%</t>
        </is>
      </c>
      <c r="C136" s="15" t="n"/>
      <c r="D136" s="15" t="n"/>
      <c r="E136" s="13">
        <f>E135*0.15</f>
        <v/>
      </c>
      <c r="F136" s="28" t="inlineStr">
        <is>
          <t>Agency management, planning &amp; execution fee</t>
        </is>
      </c>
    </row>
    <row r="137">
      <c r="A137" s="29" t="inlineStr">
        <is>
          <t>▶ EVENT 9: International Tea Day – TOTAL</t>
        </is>
      </c>
      <c r="B137" s="29" t="n"/>
      <c r="C137" s="29" t="n"/>
      <c r="D137" s="29" t="n"/>
      <c r="E137" s="30">
        <f>E135+E136</f>
        <v/>
      </c>
      <c r="F137" s="29" t="n"/>
    </row>
    <row r="139">
      <c r="A139" s="21" t="inlineStr">
        <is>
          <t>EVENT 10: Blood Donation Day | Date: June 14 | Attendance: 120 | SERA HQ</t>
        </is>
      </c>
    </row>
    <row r="140">
      <c r="A140" s="3" t="inlineStr">
        <is>
          <t>Cost Item</t>
        </is>
      </c>
      <c r="B140" s="3" t="inlineStr">
        <is>
          <t>Unit</t>
        </is>
      </c>
      <c r="C140" s="3" t="inlineStr">
        <is>
          <t>Qty</t>
        </is>
      </c>
      <c r="D140" s="3" t="inlineStr">
        <is>
          <t>Unit Price (SAR)</t>
        </is>
      </c>
      <c r="E140" s="3" t="inlineStr">
        <is>
          <t>Total (SAR)</t>
        </is>
      </c>
      <c r="F140" s="3" t="inlineStr">
        <is>
          <t>Notes</t>
        </is>
      </c>
    </row>
    <row r="141">
      <c r="A141" s="4" t="inlineStr">
        <is>
          <t>Venue Setup</t>
        </is>
      </c>
      <c r="B141" s="5" t="inlineStr">
        <is>
          <t>SERA HQ</t>
        </is>
      </c>
      <c r="C141" s="5" t="n">
        <v>1</v>
      </c>
      <c r="D141" s="22" t="n">
        <v>0</v>
      </c>
      <c r="E141" s="23">
        <f>C141*D141</f>
        <v/>
      </c>
      <c r="F141" s="24" t="inlineStr">
        <is>
          <t>Internal + Red Crescent coordination</t>
        </is>
      </c>
    </row>
    <row r="142">
      <c r="A142" s="7" t="inlineStr">
        <is>
          <t>Pre-event Awareness Campaign</t>
        </is>
      </c>
      <c r="B142" s="8" t="inlineStr">
        <is>
          <t>Package</t>
        </is>
      </c>
      <c r="C142" s="8" t="n">
        <v>1</v>
      </c>
      <c r="D142" s="25" t="n">
        <v>10000</v>
      </c>
      <c r="E142" s="26">
        <f>C142*D142</f>
        <v/>
      </c>
      <c r="F142" s="27" t="inlineStr">
        <is>
          <t>Posters, emails, digital screens, social, internal comms</t>
        </is>
      </c>
    </row>
    <row r="143">
      <c r="A143" s="4" t="inlineStr">
        <is>
          <t>Donor Refreshments</t>
        </is>
      </c>
      <c r="B143" s="5" t="inlineStr">
        <is>
          <t>Per donor</t>
        </is>
      </c>
      <c r="C143" s="5" t="n">
        <v>120</v>
      </c>
      <c r="D143" s="22" t="n">
        <v>60</v>
      </c>
      <c r="E143" s="23">
        <f>C143*D143</f>
        <v/>
      </c>
      <c r="F143" s="24" t="inlineStr">
        <is>
          <t>Juice, snacks, recovery food, premium options</t>
        </is>
      </c>
    </row>
    <row r="144">
      <c r="A144" s="7" t="inlineStr">
        <is>
          <t>Donor Appreciation Gifts</t>
        </is>
      </c>
      <c r="B144" s="8" t="inlineStr">
        <is>
          <t>Per donor</t>
        </is>
      </c>
      <c r="C144" s="8" t="n">
        <v>120</v>
      </c>
      <c r="D144" s="25" t="n">
        <v>55</v>
      </c>
      <c r="E144" s="26">
        <f>C144*D144</f>
        <v/>
      </c>
      <c r="F144" s="27" t="inlineStr">
        <is>
          <t>Branded thank-you gift set</t>
        </is>
      </c>
    </row>
    <row r="145">
      <c r="A145" s="4" t="inlineStr">
        <is>
          <t>Certificates of Appreciation</t>
        </is>
      </c>
      <c r="B145" s="5" t="inlineStr">
        <is>
          <t>Per donor</t>
        </is>
      </c>
      <c r="C145" s="5" t="n">
        <v>120</v>
      </c>
      <c r="D145" s="22" t="n">
        <v>25</v>
      </c>
      <c r="E145" s="23">
        <f>C145*D145</f>
        <v/>
      </c>
      <c r="F145" s="24" t="inlineStr">
        <is>
          <t>Premium branded certificates</t>
        </is>
      </c>
    </row>
    <row r="146">
      <c r="A146" s="7" t="inlineStr">
        <is>
          <t>Photography</t>
        </is>
      </c>
      <c r="B146" s="8" t="inlineStr">
        <is>
          <t>Full day</t>
        </is>
      </c>
      <c r="C146" s="8" t="n">
        <v>1</v>
      </c>
      <c r="D146" s="25" t="n">
        <v>3500</v>
      </c>
      <c r="E146" s="26">
        <f>C146*D146</f>
        <v/>
      </c>
      <c r="F146" s="27" t="inlineStr">
        <is>
          <t>Documentation</t>
        </is>
      </c>
    </row>
    <row r="147">
      <c r="A147" s="4" t="inlineStr">
        <is>
          <t>Red Crescent Coordination</t>
        </is>
      </c>
      <c r="B147" s="5" t="inlineStr">
        <is>
          <t>Partnership</t>
        </is>
      </c>
      <c r="C147" s="5" t="n">
        <v>1</v>
      </c>
      <c r="D147" s="22" t="n">
        <v>0</v>
      </c>
      <c r="E147" s="23">
        <f>C147*D147</f>
        <v/>
      </c>
      <c r="F147" s="31" t="inlineStr">
        <is>
          <t>[NOTE] They provide equipment &amp; staff – confirm partnership</t>
        </is>
      </c>
    </row>
    <row r="148">
      <c r="A148" s="11" t="inlineStr">
        <is>
          <t>Subtotal (Before Commission)</t>
        </is>
      </c>
      <c r="B148" s="15" t="n"/>
      <c r="C148" s="15" t="n"/>
      <c r="D148" s="15" t="n"/>
      <c r="E148" s="13">
        <f>SUM(E141:E147)</f>
        <v/>
      </c>
      <c r="F148" s="15" t="n"/>
    </row>
    <row r="149">
      <c r="A149" s="11" t="inlineStr">
        <is>
          <t>Agency Commission (15%)</t>
        </is>
      </c>
      <c r="B149" s="12" t="inlineStr">
        <is>
          <t>15%</t>
        </is>
      </c>
      <c r="C149" s="15" t="n"/>
      <c r="D149" s="15" t="n"/>
      <c r="E149" s="13">
        <f>E148*0.15</f>
        <v/>
      </c>
      <c r="F149" s="28" t="inlineStr">
        <is>
          <t>Agency management, planning &amp; execution fee</t>
        </is>
      </c>
    </row>
    <row r="150">
      <c r="A150" s="29" t="inlineStr">
        <is>
          <t>▶ EVENT 10: Blood Donation Day – TOTAL</t>
        </is>
      </c>
      <c r="B150" s="29" t="n"/>
      <c r="C150" s="29" t="n"/>
      <c r="D150" s="29" t="n"/>
      <c r="E150" s="30">
        <f>E148+E149</f>
        <v/>
      </c>
      <c r="F150" s="29" t="n"/>
    </row>
    <row r="152">
      <c r="A152" s="21" t="inlineStr">
        <is>
          <t>EVENT 11: Father's Day | Date: June 15 | Attendance: 160 | Event Space / Restaurant</t>
        </is>
      </c>
    </row>
    <row r="153">
      <c r="A153" s="3" t="inlineStr">
        <is>
          <t>Cost Item</t>
        </is>
      </c>
      <c r="B153" s="3" t="inlineStr">
        <is>
          <t>Unit</t>
        </is>
      </c>
      <c r="C153" s="3" t="inlineStr">
        <is>
          <t>Qty</t>
        </is>
      </c>
      <c r="D153" s="3" t="inlineStr">
        <is>
          <t>Unit Price (SAR)</t>
        </is>
      </c>
      <c r="E153" s="3" t="inlineStr">
        <is>
          <t>Total (SAR)</t>
        </is>
      </c>
      <c r="F153" s="3" t="inlineStr">
        <is>
          <t>Notes</t>
        </is>
      </c>
    </row>
    <row r="154">
      <c r="A154" s="4" t="inlineStr">
        <is>
          <t>Venue + Lunch/Dinner</t>
        </is>
      </c>
      <c r="B154" s="5" t="inlineStr">
        <is>
          <t>Per person</t>
        </is>
      </c>
      <c r="C154" s="5" t="n">
        <v>160</v>
      </c>
      <c r="D154" s="22" t="n">
        <v>260</v>
      </c>
      <c r="E154" s="23">
        <f>C154*D154</f>
        <v/>
      </c>
      <c r="F154" s="24" t="inlineStr">
        <is>
          <t>Private premium venue booking</t>
        </is>
      </c>
    </row>
    <row r="155">
      <c r="A155" s="7" t="inlineStr">
        <is>
          <t>Father's Day Gifts</t>
        </is>
      </c>
      <c r="B155" s="8" t="inlineStr">
        <is>
          <t>Per person</t>
        </is>
      </c>
      <c r="C155" s="8" t="n">
        <v>80</v>
      </c>
      <c r="D155" s="25" t="n">
        <v>160</v>
      </c>
      <c r="E155" s="26">
        <f>C155*D155</f>
        <v/>
      </c>
      <c r="F155" s="32" t="inlineStr">
        <is>
          <t>[NOTE] Assumed 50% are fathers – adjust per actual</t>
        </is>
      </c>
    </row>
    <row r="156">
      <c r="A156" s="4" t="inlineStr">
        <is>
          <t>Team Activities / Entertainment</t>
        </is>
      </c>
      <c r="B156" s="5" t="inlineStr">
        <is>
          <t>Package</t>
        </is>
      </c>
      <c r="C156" s="5" t="n">
        <v>1</v>
      </c>
      <c r="D156" s="22" t="n">
        <v>15000</v>
      </c>
      <c r="E156" s="23">
        <f>C156*D156</f>
        <v/>
      </c>
      <c r="F156" s="24" t="inlineStr">
        <is>
          <t>Team competitions, entertainment, prizes</t>
        </is>
      </c>
    </row>
    <row r="157">
      <c r="A157" s="7" t="inlineStr">
        <is>
          <t>Photography</t>
        </is>
      </c>
      <c r="B157" s="8" t="inlineStr">
        <is>
          <t>3 hours</t>
        </is>
      </c>
      <c r="C157" s="8" t="n">
        <v>1</v>
      </c>
      <c r="D157" s="25" t="n">
        <v>4500</v>
      </c>
      <c r="E157" s="26">
        <f>C157*D157</f>
        <v/>
      </c>
      <c r="F157" s="27" t="inlineStr">
        <is>
          <t>Event coverage</t>
        </is>
      </c>
    </row>
    <row r="158">
      <c r="A158" s="4" t="inlineStr">
        <is>
          <t>Event Branding &amp; Design</t>
        </is>
      </c>
      <c r="B158" s="5" t="inlineStr">
        <is>
          <t>Package</t>
        </is>
      </c>
      <c r="C158" s="5" t="n">
        <v>1</v>
      </c>
      <c r="D158" s="22" t="n">
        <v>14000</v>
      </c>
      <c r="E158" s="23">
        <f>C158*D158</f>
        <v/>
      </c>
      <c r="F158" s="24" t="inlineStr">
        <is>
          <t>Invitations, signage, décor, social media kit, digital assets</t>
        </is>
      </c>
    </row>
    <row r="159">
      <c r="A159" s="11" t="inlineStr">
        <is>
          <t>Subtotal (Before Commission)</t>
        </is>
      </c>
      <c r="B159" s="15" t="n"/>
      <c r="C159" s="15" t="n"/>
      <c r="D159" s="15" t="n"/>
      <c r="E159" s="13">
        <f>SUM(E154:E158)</f>
        <v/>
      </c>
      <c r="F159" s="15" t="n"/>
    </row>
    <row r="160">
      <c r="A160" s="11" t="inlineStr">
        <is>
          <t>Agency Commission (15%)</t>
        </is>
      </c>
      <c r="B160" s="12" t="inlineStr">
        <is>
          <t>15%</t>
        </is>
      </c>
      <c r="C160" s="15" t="n"/>
      <c r="D160" s="15" t="n"/>
      <c r="E160" s="13">
        <f>E159*0.15</f>
        <v/>
      </c>
      <c r="F160" s="28" t="inlineStr">
        <is>
          <t>Agency management, planning &amp; execution fee</t>
        </is>
      </c>
    </row>
    <row r="161">
      <c r="A161" s="29" t="inlineStr">
        <is>
          <t>▶ EVENT 11: Father's Day – TOTAL</t>
        </is>
      </c>
      <c r="B161" s="29" t="n"/>
      <c r="C161" s="29" t="n"/>
      <c r="D161" s="29" t="n"/>
      <c r="E161" s="30">
        <f>E159+E160</f>
        <v/>
      </c>
      <c r="F161" s="29" t="n"/>
    </row>
    <row r="163">
      <c r="A163" s="21" t="inlineStr">
        <is>
          <t>EVENT 12: Eid Al-Adha Celebration | Date: Mid-June | Attendance: 300 | 5-Star Hotel – Grand Gala</t>
        </is>
      </c>
    </row>
    <row r="164">
      <c r="A164" s="3" t="inlineStr">
        <is>
          <t>Cost Item</t>
        </is>
      </c>
      <c r="B164" s="3" t="inlineStr">
        <is>
          <t>Unit</t>
        </is>
      </c>
      <c r="C164" s="3" t="inlineStr">
        <is>
          <t>Qty</t>
        </is>
      </c>
      <c r="D164" s="3" t="inlineStr">
        <is>
          <t>Unit Price (SAR)</t>
        </is>
      </c>
      <c r="E164" s="3" t="inlineStr">
        <is>
          <t>Total (SAR)</t>
        </is>
      </c>
      <c r="F164" s="3" t="inlineStr">
        <is>
          <t>Notes</t>
        </is>
      </c>
    </row>
    <row r="165">
      <c r="A165" s="4" t="inlineStr">
        <is>
          <t>Venue Rental (Grand Ballroom)</t>
        </is>
      </c>
      <c r="B165" s="5" t="inlineStr">
        <is>
          <t>Evening</t>
        </is>
      </c>
      <c r="C165" s="5" t="n">
        <v>1</v>
      </c>
      <c r="D165" s="22" t="n">
        <v>58000</v>
      </c>
      <c r="E165" s="23">
        <f>C165*D165</f>
        <v/>
      </c>
      <c r="F165" s="24" t="inlineStr">
        <is>
          <t>Premium 5-star hotel</t>
        </is>
      </c>
    </row>
    <row r="166">
      <c r="A166" s="7" t="inlineStr">
        <is>
          <t>Catering – Eid Al-Adha Gala Dinner</t>
        </is>
      </c>
      <c r="B166" s="8" t="inlineStr">
        <is>
          <t>Per person</t>
        </is>
      </c>
      <c r="C166" s="8" t="n">
        <v>300</v>
      </c>
      <c r="D166" s="25" t="n">
        <v>360</v>
      </c>
      <c r="E166" s="26">
        <f>C166*D166</f>
        <v/>
      </c>
      <c r="F166" s="27" t="inlineStr">
        <is>
          <t>Traditional lamb feast + premium menu + live stations</t>
        </is>
      </c>
    </row>
    <row r="167">
      <c r="A167" s="4" t="inlineStr">
        <is>
          <t>Stage &amp; Full Eid Décor (Arabian theme)</t>
        </is>
      </c>
      <c r="B167" s="5" t="inlineStr">
        <is>
          <t>Package</t>
        </is>
      </c>
      <c r="C167" s="5" t="n">
        <v>1</v>
      </c>
      <c r="D167" s="22" t="n">
        <v>42000</v>
      </c>
      <c r="E167" s="23">
        <f>C167*D167</f>
        <v/>
      </c>
      <c r="F167" s="24" t="inlineStr">
        <is>
          <t>Traditional Arabian Eid Al-Adha theme + entrance</t>
        </is>
      </c>
    </row>
    <row r="168">
      <c r="A168" s="7" t="inlineStr">
        <is>
          <t>Entertainment – Ardah + Live Music</t>
        </is>
      </c>
      <c r="B168" s="8" t="inlineStr">
        <is>
          <t>Package</t>
        </is>
      </c>
      <c r="C168" s="8" t="n">
        <v>1</v>
      </c>
      <c r="D168" s="25" t="n">
        <v>30000</v>
      </c>
      <c r="E168" s="26">
        <f>C168*D168</f>
        <v/>
      </c>
      <c r="F168" s="27" t="inlineStr">
        <is>
          <t>Traditional + modern acts</t>
        </is>
      </c>
    </row>
    <row r="169">
      <c r="A169" s="4" t="inlineStr">
        <is>
          <t>LED Video Wall &amp; Full AV Production</t>
        </is>
      </c>
      <c r="B169" s="5" t="inlineStr">
        <is>
          <t>Package</t>
        </is>
      </c>
      <c r="C169" s="5" t="n">
        <v>1</v>
      </c>
      <c r="D169" s="22" t="n">
        <v>22000</v>
      </c>
      <c r="E169" s="23">
        <f>C169*D169</f>
        <v/>
      </c>
      <c r="F169" s="24" t="inlineStr">
        <is>
          <t>Full production setup + lighting design</t>
        </is>
      </c>
    </row>
    <row r="170">
      <c r="A170" s="7" t="inlineStr">
        <is>
          <t>Photography &amp; Videography (Full team)</t>
        </is>
      </c>
      <c r="B170" s="8" t="inlineStr">
        <is>
          <t>Package</t>
        </is>
      </c>
      <c r="C170" s="8" t="n">
        <v>1</v>
      </c>
      <c r="D170" s="25" t="n">
        <v>18000</v>
      </c>
      <c r="E170" s="26">
        <f>C170*D170</f>
        <v/>
      </c>
      <c r="F170" s="27" t="inlineStr">
        <is>
          <t>Complete coverage + highlight reel</t>
        </is>
      </c>
    </row>
    <row r="171">
      <c r="A171" s="4" t="inlineStr">
        <is>
          <t>Eid Employee Gift Boxes</t>
        </is>
      </c>
      <c r="B171" s="5" t="inlineStr">
        <is>
          <t>Per person</t>
        </is>
      </c>
      <c r="C171" s="5" t="n">
        <v>300</v>
      </c>
      <c r="D171" s="22" t="n">
        <v>155</v>
      </c>
      <c r="E171" s="23">
        <f>C171*D171</f>
        <v/>
      </c>
      <c r="F171" s="24" t="inlineStr">
        <is>
          <t>Premium gift box with personalized item</t>
        </is>
      </c>
    </row>
    <row r="172">
      <c r="A172" s="7" t="inlineStr">
        <is>
          <t>Professional MC</t>
        </is>
      </c>
      <c r="B172" s="8" t="inlineStr">
        <is>
          <t>Full event</t>
        </is>
      </c>
      <c r="C172" s="8" t="n">
        <v>1</v>
      </c>
      <c r="D172" s="25" t="n">
        <v>12000</v>
      </c>
      <c r="E172" s="26">
        <f>C172*D172</f>
        <v/>
      </c>
      <c r="F172" s="27" t="inlineStr">
        <is>
          <t>Gala host</t>
        </is>
      </c>
    </row>
    <row r="173">
      <c r="A173" s="4" t="inlineStr">
        <is>
          <t>Event Branding &amp; Design</t>
        </is>
      </c>
      <c r="B173" s="5" t="inlineStr">
        <is>
          <t>Package</t>
        </is>
      </c>
      <c r="C173" s="5" t="n">
        <v>1</v>
      </c>
      <c r="D173" s="22" t="n">
        <v>16000</v>
      </c>
      <c r="E173" s="23">
        <f>C173*D173</f>
        <v/>
      </c>
      <c r="F173" s="24" t="inlineStr">
        <is>
          <t>Eid-themed invites, backdrop, social media kit, signage, digital assets</t>
        </is>
      </c>
    </row>
    <row r="174">
      <c r="A174" s="11" t="inlineStr">
        <is>
          <t>Subtotal (Before Commission)</t>
        </is>
      </c>
      <c r="B174" s="15" t="n"/>
      <c r="C174" s="15" t="n"/>
      <c r="D174" s="15" t="n"/>
      <c r="E174" s="13">
        <f>SUM(E165:E173)</f>
        <v/>
      </c>
      <c r="F174" s="15" t="n"/>
    </row>
    <row r="175">
      <c r="A175" s="11" t="inlineStr">
        <is>
          <t>Agency Commission (15%)</t>
        </is>
      </c>
      <c r="B175" s="12" t="inlineStr">
        <is>
          <t>15%</t>
        </is>
      </c>
      <c r="C175" s="15" t="n"/>
      <c r="D175" s="15" t="n"/>
      <c r="E175" s="13">
        <f>E174*0.15</f>
        <v/>
      </c>
      <c r="F175" s="28" t="inlineStr">
        <is>
          <t>Agency management, planning &amp; execution fee</t>
        </is>
      </c>
    </row>
    <row r="176">
      <c r="A176" s="29" t="inlineStr">
        <is>
          <t>▶ EVENT 12: Eid Al-Adha Celebration – TOTAL</t>
        </is>
      </c>
      <c r="B176" s="29" t="n"/>
      <c r="C176" s="29" t="n"/>
      <c r="D176" s="29" t="n"/>
      <c r="E176" s="30">
        <f>E174+E175</f>
        <v/>
      </c>
      <c r="F176" s="29" t="n"/>
    </row>
    <row r="179">
      <c r="A179" s="1" t="inlineStr">
        <is>
          <t>Q3 EVENTS</t>
        </is>
      </c>
    </row>
    <row r="180">
      <c r="A180" s="21" t="inlineStr">
        <is>
          <t>EVENT 13: Summer SERA (صيف سيرا) | Date: July 20 | Attendance: 500 | Entertainment Venue – Evening</t>
        </is>
      </c>
    </row>
    <row r="181">
      <c r="A181" s="3" t="inlineStr">
        <is>
          <t>Cost Item</t>
        </is>
      </c>
      <c r="B181" s="3" t="inlineStr">
        <is>
          <t>Unit</t>
        </is>
      </c>
      <c r="C181" s="3" t="inlineStr">
        <is>
          <t>Qty</t>
        </is>
      </c>
      <c r="D181" s="3" t="inlineStr">
        <is>
          <t>Unit Price (SAR)</t>
        </is>
      </c>
      <c r="E181" s="3" t="inlineStr">
        <is>
          <t>Total (SAR)</t>
        </is>
      </c>
      <c r="F181" s="3" t="inlineStr">
        <is>
          <t>Notes</t>
        </is>
      </c>
    </row>
    <row r="182">
      <c r="A182" s="4" t="inlineStr">
        <is>
          <t>Venue Rental (Entertainment complex)</t>
        </is>
      </c>
      <c r="B182" s="5" t="inlineStr">
        <is>
          <t>Evening</t>
        </is>
      </c>
      <c r="C182" s="5" t="n">
        <v>1</v>
      </c>
      <c r="D182" s="22" t="n">
        <v>72000</v>
      </c>
      <c r="E182" s="23">
        <f>C182*D182</f>
        <v/>
      </c>
      <c r="F182" s="31" t="inlineStr">
        <is>
          <t>[NOTE] MUST be evening post-sunset – July heat exceeds 45°C</t>
        </is>
      </c>
    </row>
    <row r="183">
      <c r="A183" s="7" t="inlineStr">
        <is>
          <t>Catering – Food Festival Style</t>
        </is>
      </c>
      <c r="B183" s="8" t="inlineStr">
        <is>
          <t>Per person</t>
        </is>
      </c>
      <c r="C183" s="8" t="n">
        <v>500</v>
      </c>
      <c r="D183" s="25" t="n">
        <v>145</v>
      </c>
      <c r="E183" s="26">
        <f>C183*D183</f>
        <v/>
      </c>
      <c r="F183" s="27" t="inlineStr">
        <is>
          <t>10+ themed food stations, live cooking</t>
        </is>
      </c>
    </row>
    <row r="184">
      <c r="A184" s="4" t="inlineStr">
        <is>
          <t>Beverages &amp; Refreshments Station</t>
        </is>
      </c>
      <c r="B184" s="5" t="inlineStr">
        <is>
          <t>Per person</t>
        </is>
      </c>
      <c r="C184" s="5" t="n">
        <v>500</v>
      </c>
      <c r="D184" s="22" t="n">
        <v>38</v>
      </c>
      <c r="E184" s="23">
        <f>C184*D184</f>
        <v/>
      </c>
      <c r="F184" s="24" t="inlineStr">
        <is>
          <t>Water, fresh juices, soft drinks, ice cream bar</t>
        </is>
      </c>
    </row>
    <row r="185">
      <c r="A185" s="7" t="inlineStr">
        <is>
          <t>Main Stage Entertainment (Live show)</t>
        </is>
      </c>
      <c r="B185" s="8" t="inlineStr">
        <is>
          <t>Package</t>
        </is>
      </c>
      <c r="C185" s="8" t="n">
        <v>1</v>
      </c>
      <c r="D185" s="25" t="n">
        <v>38000</v>
      </c>
      <c r="E185" s="26">
        <f>C185*D185</f>
        <v/>
      </c>
      <c r="F185" s="27" t="inlineStr">
        <is>
          <t>Headline act + band + performer</t>
        </is>
      </c>
    </row>
    <row r="186">
      <c r="A186" s="4" t="inlineStr">
        <is>
          <t>Children's Entertainment Zone</t>
        </is>
      </c>
      <c r="B186" s="5" t="inlineStr">
        <is>
          <t>Package</t>
        </is>
      </c>
      <c r="C186" s="5" t="n">
        <v>1</v>
      </c>
      <c r="D186" s="22" t="n">
        <v>28000</v>
      </c>
      <c r="E186" s="23">
        <f>C186*D186</f>
        <v/>
      </c>
      <c r="F186" s="24" t="inlineStr">
        <is>
          <t>Games, characters, face painting, bouncy castles, VR</t>
        </is>
      </c>
    </row>
    <row r="187">
      <c r="A187" s="7" t="inlineStr">
        <is>
          <t>Game Booths &amp; Activity Stations</t>
        </is>
      </c>
      <c r="B187" s="8" t="inlineStr">
        <is>
          <t>Per booth</t>
        </is>
      </c>
      <c r="C187" s="8" t="n">
        <v>10</v>
      </c>
      <c r="D187" s="25" t="n">
        <v>5000</v>
      </c>
      <c r="E187" s="26">
        <f>C187*D187</f>
        <v/>
      </c>
      <c r="F187" s="27" t="inlineStr">
        <is>
          <t>10 interactive branded stations with prizes</t>
        </is>
      </c>
    </row>
    <row r="188">
      <c r="A188" s="4" t="inlineStr">
        <is>
          <t>Prizes, Raffle &amp; Giveaways</t>
        </is>
      </c>
      <c r="B188" s="5" t="inlineStr">
        <is>
          <t>Package</t>
        </is>
      </c>
      <c r="C188" s="5" t="n">
        <v>1</v>
      </c>
      <c r="D188" s="22" t="n">
        <v>25000</v>
      </c>
      <c r="E188" s="23">
        <f>C188*D188</f>
        <v/>
      </c>
      <c r="F188" s="24" t="inlineStr">
        <is>
          <t>Competition prizes + grand raffle + spot prizes</t>
        </is>
      </c>
    </row>
    <row r="189">
      <c r="A189" s="7" t="inlineStr">
        <is>
          <t>Summer-Themed Décor (Multi-zone)</t>
        </is>
      </c>
      <c r="B189" s="8" t="inlineStr">
        <is>
          <t>Package</t>
        </is>
      </c>
      <c r="C189" s="8" t="n">
        <v>1</v>
      </c>
      <c r="D189" s="25" t="n">
        <v>30000</v>
      </c>
      <c r="E189" s="26">
        <f>C189*D189</f>
        <v/>
      </c>
      <c r="F189" s="27" t="inlineStr">
        <is>
          <t>Full venue theming across all zones</t>
        </is>
      </c>
    </row>
    <row r="190">
      <c r="A190" s="4" t="inlineStr">
        <is>
          <t>Outdoor Concert Sound &amp; Lighting</t>
        </is>
      </c>
      <c r="B190" s="5" t="inlineStr">
        <is>
          <t>Package</t>
        </is>
      </c>
      <c r="C190" s="5" t="n">
        <v>1</v>
      </c>
      <c r="D190" s="22" t="n">
        <v>35000</v>
      </c>
      <c r="E190" s="23">
        <f>C190*D190</f>
        <v/>
      </c>
      <c r="F190" s="24" t="inlineStr">
        <is>
          <t>Concert-grade outdoor production + effects</t>
        </is>
      </c>
    </row>
    <row r="191">
      <c r="A191" s="7" t="inlineStr">
        <is>
          <t>Photography &amp; Videography (Multi-zone)</t>
        </is>
      </c>
      <c r="B191" s="8" t="inlineStr">
        <is>
          <t>Package</t>
        </is>
      </c>
      <c r="C191" s="8" t="n">
        <v>1</v>
      </c>
      <c r="D191" s="25" t="n">
        <v>22000</v>
      </c>
      <c r="E191" s="26">
        <f>C191*D191</f>
        <v/>
      </c>
      <c r="F191" s="27" t="inlineStr">
        <is>
          <t>3 photographers + 2 videographers + drone</t>
        </is>
      </c>
    </row>
    <row r="192">
      <c r="A192" s="4" t="inlineStr">
        <is>
          <t>Family Gift Bags</t>
        </is>
      </c>
      <c r="B192" s="5" t="inlineStr">
        <is>
          <t>Per family</t>
        </is>
      </c>
      <c r="C192" s="5" t="n">
        <v>250</v>
      </c>
      <c r="D192" s="22" t="n">
        <v>90</v>
      </c>
      <c r="E192" s="23">
        <f>C192*D192</f>
        <v/>
      </c>
      <c r="F192" s="24" t="inlineStr">
        <is>
          <t>Summer activity pack with branded items</t>
        </is>
      </c>
    </row>
    <row r="193">
      <c r="A193" s="11" t="inlineStr">
        <is>
          <t>Subtotal (Before Commission)</t>
        </is>
      </c>
      <c r="B193" s="15" t="n"/>
      <c r="C193" s="15" t="n"/>
      <c r="D193" s="15" t="n"/>
      <c r="E193" s="13">
        <f>SUM(E182:E192)</f>
        <v/>
      </c>
      <c r="F193" s="15" t="n"/>
    </row>
    <row r="194">
      <c r="A194" s="11" t="inlineStr">
        <is>
          <t>Agency Commission (15%)</t>
        </is>
      </c>
      <c r="B194" s="12" t="inlineStr">
        <is>
          <t>15%</t>
        </is>
      </c>
      <c r="C194" s="15" t="n"/>
      <c r="D194" s="15" t="n"/>
      <c r="E194" s="13">
        <f>E193*0.15</f>
        <v/>
      </c>
      <c r="F194" s="28" t="inlineStr">
        <is>
          <t>Agency management, planning &amp; execution fee</t>
        </is>
      </c>
    </row>
    <row r="195">
      <c r="A195" s="29" t="inlineStr">
        <is>
          <t>▶ EVENT 13: Summer SERA (صيف سيرا) – TOTAL</t>
        </is>
      </c>
      <c r="B195" s="29" t="n"/>
      <c r="C195" s="29" t="n"/>
      <c r="D195" s="29" t="n"/>
      <c r="E195" s="30">
        <f>E193+E194</f>
        <v/>
      </c>
      <c r="F195" s="29" t="n"/>
    </row>
    <row r="197">
      <c r="A197" s="21" t="inlineStr">
        <is>
          <t>EVENT 14: World Alzheimer's Day | Date: September 21 | Attendance: 200 | SERA HQ</t>
        </is>
      </c>
    </row>
    <row r="198">
      <c r="A198" s="3" t="inlineStr">
        <is>
          <t>Cost Item</t>
        </is>
      </c>
      <c r="B198" s="3" t="inlineStr">
        <is>
          <t>Unit</t>
        </is>
      </c>
      <c r="C198" s="3" t="inlineStr">
        <is>
          <t>Qty</t>
        </is>
      </c>
      <c r="D198" s="3" t="inlineStr">
        <is>
          <t>Unit Price (SAR)</t>
        </is>
      </c>
      <c r="E198" s="3" t="inlineStr">
        <is>
          <t>Total (SAR)</t>
        </is>
      </c>
      <c r="F198" s="3" t="inlineStr">
        <is>
          <t>Notes</t>
        </is>
      </c>
    </row>
    <row r="199">
      <c r="A199" s="4" t="inlineStr">
        <is>
          <t>Venue</t>
        </is>
      </c>
      <c r="B199" s="5" t="inlineStr">
        <is>
          <t>SERA HQ</t>
        </is>
      </c>
      <c r="C199" s="5" t="n">
        <v>1</v>
      </c>
      <c r="D199" s="22" t="n">
        <v>0</v>
      </c>
      <c r="E199" s="23">
        <f>C199*D199</f>
        <v/>
      </c>
      <c r="F199" s="24" t="inlineStr">
        <is>
          <t>Internal</t>
        </is>
      </c>
    </row>
    <row r="200">
      <c r="A200" s="7" t="inlineStr">
        <is>
          <t>Awareness Materials &amp; Booth Setup</t>
        </is>
      </c>
      <c r="B200" s="8" t="inlineStr">
        <is>
          <t>Package</t>
        </is>
      </c>
      <c r="C200" s="8" t="n">
        <v>1</v>
      </c>
      <c r="D200" s="25" t="n">
        <v>10000</v>
      </c>
      <c r="E200" s="26">
        <f>C200*D200</f>
        <v/>
      </c>
      <c r="F200" s="27" t="inlineStr">
        <is>
          <t>Purple theme + interactive info booth + displays</t>
        </is>
      </c>
    </row>
    <row r="201">
      <c r="A201" s="4" t="inlineStr">
        <is>
          <t>Expert Healthcare Speaker</t>
        </is>
      </c>
      <c r="B201" s="5" t="inlineStr">
        <is>
          <t>Fee</t>
        </is>
      </c>
      <c r="C201" s="5" t="n">
        <v>1</v>
      </c>
      <c r="D201" s="22" t="n">
        <v>15000</v>
      </c>
      <c r="E201" s="23">
        <f>C201*D201</f>
        <v/>
      </c>
      <c r="F201" s="24" t="inlineStr">
        <is>
          <t>Neurologist or awareness specialist</t>
        </is>
      </c>
    </row>
    <row r="202">
      <c r="A202" s="7" t="inlineStr">
        <is>
          <t>Light Refreshments</t>
        </is>
      </c>
      <c r="B202" s="8" t="inlineStr">
        <is>
          <t>Per person</t>
        </is>
      </c>
      <c r="C202" s="8" t="n">
        <v>200</v>
      </c>
      <c r="D202" s="25" t="n">
        <v>45</v>
      </c>
      <c r="E202" s="26">
        <f>C202*D202</f>
        <v/>
      </c>
      <c r="F202" s="27" t="inlineStr">
        <is>
          <t>Coffee, healthy snacks, fruits</t>
        </is>
      </c>
    </row>
    <row r="203">
      <c r="A203" s="4" t="inlineStr">
        <is>
          <t>Purple Ribbons &amp; Awareness Items</t>
        </is>
      </c>
      <c r="B203" s="5" t="inlineStr">
        <is>
          <t>Per person</t>
        </is>
      </c>
      <c r="C203" s="5" t="n">
        <v>200</v>
      </c>
      <c r="D203" s="22" t="n">
        <v>20</v>
      </c>
      <c r="E203" s="23">
        <f>C203*D203</f>
        <v/>
      </c>
      <c r="F203" s="24" t="inlineStr">
        <is>
          <t>Branded awareness items + informational booklet</t>
        </is>
      </c>
    </row>
    <row r="204">
      <c r="A204" s="7" t="inlineStr">
        <is>
          <t>Photography</t>
        </is>
      </c>
      <c r="B204" s="8" t="inlineStr">
        <is>
          <t>2 hours</t>
        </is>
      </c>
      <c r="C204" s="8" t="n">
        <v>1</v>
      </c>
      <c r="D204" s="25" t="n">
        <v>3500</v>
      </c>
      <c r="E204" s="26">
        <f>C204*D204</f>
        <v/>
      </c>
      <c r="F204" s="27" t="inlineStr">
        <is>
          <t>Event coverage</t>
        </is>
      </c>
    </row>
    <row r="205">
      <c r="A205" s="11" t="inlineStr">
        <is>
          <t>Subtotal (Before Commission)</t>
        </is>
      </c>
      <c r="B205" s="15" t="n"/>
      <c r="C205" s="15" t="n"/>
      <c r="D205" s="15" t="n"/>
      <c r="E205" s="13">
        <f>SUM(E199:E204)</f>
        <v/>
      </c>
      <c r="F205" s="15" t="n"/>
    </row>
    <row r="206">
      <c r="A206" s="11" t="inlineStr">
        <is>
          <t>Agency Commission (15%)</t>
        </is>
      </c>
      <c r="B206" s="12" t="inlineStr">
        <is>
          <t>15%</t>
        </is>
      </c>
      <c r="C206" s="15" t="n"/>
      <c r="D206" s="15" t="n"/>
      <c r="E206" s="13">
        <f>E205*0.15</f>
        <v/>
      </c>
      <c r="F206" s="28" t="inlineStr">
        <is>
          <t>Agency management, planning &amp; execution fee</t>
        </is>
      </c>
    </row>
    <row r="207">
      <c r="A207" s="29" t="inlineStr">
        <is>
          <t>▶ EVENT 14: World Alzheimer's Day – TOTAL</t>
        </is>
      </c>
      <c r="B207" s="29" t="n"/>
      <c r="C207" s="29" t="n"/>
      <c r="D207" s="29" t="n"/>
      <c r="E207" s="30">
        <f>E205+E206</f>
        <v/>
      </c>
      <c r="F207" s="29" t="n"/>
    </row>
    <row r="209">
      <c r="A209" s="21" t="inlineStr">
        <is>
          <t>EVENT 15: Saudi National Day (96th) | Date: September 23 | Attendance: 300 | Premium Venue – Evening</t>
        </is>
      </c>
    </row>
    <row r="210">
      <c r="A210" s="3" t="inlineStr">
        <is>
          <t>Cost Item</t>
        </is>
      </c>
      <c r="B210" s="3" t="inlineStr">
        <is>
          <t>Unit</t>
        </is>
      </c>
      <c r="C210" s="3" t="inlineStr">
        <is>
          <t>Qty</t>
        </is>
      </c>
      <c r="D210" s="3" t="inlineStr">
        <is>
          <t>Unit Price (SAR)</t>
        </is>
      </c>
      <c r="E210" s="3" t="inlineStr">
        <is>
          <t>Total (SAR)</t>
        </is>
      </c>
      <c r="F210" s="3" t="inlineStr">
        <is>
          <t>Notes</t>
        </is>
      </c>
    </row>
    <row r="211">
      <c r="A211" s="4" t="inlineStr">
        <is>
          <t>Venue Rental (Premium + outdoor area)</t>
        </is>
      </c>
      <c r="B211" s="5" t="inlineStr">
        <is>
          <t>Evening</t>
        </is>
      </c>
      <c r="C211" s="5" t="n">
        <v>1</v>
      </c>
      <c r="D211" s="22" t="n">
        <v>65000</v>
      </c>
      <c r="E211" s="23">
        <f>C211*D211</f>
        <v/>
      </c>
      <c r="F211" s="31" t="inlineStr">
        <is>
          <t>[NOTE] Book 3-4 months ahead – extreme demand period</t>
        </is>
      </c>
    </row>
    <row r="212">
      <c r="A212" s="7" t="inlineStr">
        <is>
          <t>Catering – Saudi Traditional Feast</t>
        </is>
      </c>
      <c r="B212" s="8" t="inlineStr">
        <is>
          <t>Per person</t>
        </is>
      </c>
      <c r="C212" s="8" t="n">
        <v>300</v>
      </c>
      <c r="D212" s="25" t="n">
        <v>320</v>
      </c>
      <c r="E212" s="26">
        <f>C212*D212</f>
        <v/>
      </c>
      <c r="F212" s="27" t="inlineStr">
        <is>
          <t>Traditional Saudi dishes + modern, coffee ceremony, live stations</t>
        </is>
      </c>
    </row>
    <row r="213">
      <c r="A213" s="4" t="inlineStr">
        <is>
          <t>Stage &amp; Premium National Décor (Green)</t>
        </is>
      </c>
      <c r="B213" s="5" t="inlineStr">
        <is>
          <t>Package</t>
        </is>
      </c>
      <c r="C213" s="5" t="n">
        <v>1</v>
      </c>
      <c r="D213" s="22" t="n">
        <v>48000</v>
      </c>
      <c r="E213" s="23">
        <f>C213*D213</f>
        <v/>
      </c>
      <c r="F213" s="24" t="inlineStr">
        <is>
          <t>Flags, national symbols, green theme, immersive design</t>
        </is>
      </c>
    </row>
    <row r="214">
      <c r="A214" s="7" t="inlineStr">
        <is>
          <t>Ardah Performance Troupe</t>
        </is>
      </c>
      <c r="B214" s="8" t="inlineStr">
        <is>
          <t>Package</t>
        </is>
      </c>
      <c r="C214" s="8" t="n">
        <v>1</v>
      </c>
      <c r="D214" s="25" t="n">
        <v>24000</v>
      </c>
      <c r="E214" s="26">
        <f>C214*D214</f>
        <v/>
      </c>
      <c r="F214" s="27" t="inlineStr">
        <is>
          <t>Authentic Saudi traditional dance + sword dance</t>
        </is>
      </c>
    </row>
    <row r="215">
      <c r="A215" s="4" t="inlineStr">
        <is>
          <t>Saudi Cultural Entertainment</t>
        </is>
      </c>
      <c r="B215" s="5" t="inlineStr">
        <is>
          <t>Package</t>
        </is>
      </c>
      <c r="C215" s="5" t="n">
        <v>1</v>
      </c>
      <c r="D215" s="22" t="n">
        <v>18000</v>
      </c>
      <c r="E215" s="23">
        <f>C215*D215</f>
        <v/>
      </c>
      <c r="F215" s="24" t="inlineStr">
        <is>
          <t>Additional cultural acts + Saudi music + poet</t>
        </is>
      </c>
    </row>
    <row r="216">
      <c r="A216" s="7" t="inlineStr">
        <is>
          <t>LED Video Wall &amp; AV Production</t>
        </is>
      </c>
      <c r="B216" s="8" t="inlineStr">
        <is>
          <t>Package</t>
        </is>
      </c>
      <c r="C216" s="8" t="n">
        <v>1</v>
      </c>
      <c r="D216" s="25" t="n">
        <v>24000</v>
      </c>
      <c r="E216" s="26">
        <f>C216*D216</f>
        <v/>
      </c>
      <c r="F216" s="27" t="inlineStr">
        <is>
          <t>National content, anthem, videos on LED, special effects</t>
        </is>
      </c>
    </row>
    <row r="217">
      <c r="A217" s="4" t="inlineStr">
        <is>
          <t>Photography &amp; Videography (Full team)</t>
        </is>
      </c>
      <c r="B217" s="5" t="inlineStr">
        <is>
          <t>Package</t>
        </is>
      </c>
      <c r="C217" s="5" t="n">
        <v>1</v>
      </c>
      <c r="D217" s="22" t="n">
        <v>20000</v>
      </c>
      <c r="E217" s="23">
        <f>C217*D217</f>
        <v/>
      </c>
      <c r="F217" s="24" t="inlineStr">
        <is>
          <t>Premium coverage + drone + same-day preview</t>
        </is>
      </c>
    </row>
    <row r="218">
      <c r="A218" s="7" t="inlineStr">
        <is>
          <t>National Day Themed Gifts</t>
        </is>
      </c>
      <c r="B218" s="8" t="inlineStr">
        <is>
          <t>Per person</t>
        </is>
      </c>
      <c r="C218" s="8" t="n">
        <v>300</v>
      </c>
      <c r="D218" s="25" t="n">
        <v>125</v>
      </c>
      <c r="E218" s="26">
        <f>C218*D218</f>
        <v/>
      </c>
      <c r="F218" s="27" t="inlineStr">
        <is>
          <t>Patriotic premium gift items with SERA branding</t>
        </is>
      </c>
    </row>
    <row r="219">
      <c r="A219" s="4" t="inlineStr">
        <is>
          <t>Green Lighting &amp; Special Effects</t>
        </is>
      </c>
      <c r="B219" s="5" t="inlineStr">
        <is>
          <t>Package</t>
        </is>
      </c>
      <c r="C219" s="5" t="n">
        <v>1</v>
      </c>
      <c r="D219" s="22" t="n">
        <v>20000</v>
      </c>
      <c r="E219" s="23">
        <f>C219*D219</f>
        <v/>
      </c>
      <c r="F219" s="24" t="inlineStr">
        <is>
          <t>Building/venue green wash + laser + effects</t>
        </is>
      </c>
    </row>
    <row r="220">
      <c r="A220" s="7" t="inlineStr">
        <is>
          <t>Professional MC</t>
        </is>
      </c>
      <c r="B220" s="8" t="inlineStr">
        <is>
          <t>Full event</t>
        </is>
      </c>
      <c r="C220" s="8" t="n">
        <v>1</v>
      </c>
      <c r="D220" s="25" t="n">
        <v>12000</v>
      </c>
      <c r="E220" s="26">
        <f>C220*D220</f>
        <v/>
      </c>
      <c r="F220" s="27" t="inlineStr">
        <is>
          <t>National Day host</t>
        </is>
      </c>
    </row>
    <row r="221">
      <c r="A221" s="4" t="inlineStr">
        <is>
          <t>Event Branding &amp; Design</t>
        </is>
      </c>
      <c r="B221" s="5" t="inlineStr">
        <is>
          <t>Package</t>
        </is>
      </c>
      <c r="C221" s="5" t="n">
        <v>1</v>
      </c>
      <c r="D221" s="22" t="n">
        <v>16000</v>
      </c>
      <c r="E221" s="23">
        <f>C221*D221</f>
        <v/>
      </c>
      <c r="F221" s="24" t="inlineStr">
        <is>
          <t>Invitations, signage, social media kit, print, digital assets</t>
        </is>
      </c>
    </row>
    <row r="222">
      <c r="A222" s="7" t="inlineStr">
        <is>
          <t>Fireworks / Confetti Finale</t>
        </is>
      </c>
      <c r="B222" s="8" t="inlineStr">
        <is>
          <t>Package</t>
        </is>
      </c>
      <c r="C222" s="8" t="n">
        <v>1</v>
      </c>
      <c r="D222" s="25" t="n">
        <v>15000</v>
      </c>
      <c r="E222" s="26">
        <f>C222*D222</f>
        <v/>
      </c>
      <c r="F222" s="32" t="inlineStr">
        <is>
          <t>[NOTE] Indoor confetti/CO2 if fireworks not permitted</t>
        </is>
      </c>
    </row>
    <row r="223">
      <c r="A223" s="11" t="inlineStr">
        <is>
          <t>Subtotal (Before Commission)</t>
        </is>
      </c>
      <c r="B223" s="15" t="n"/>
      <c r="C223" s="15" t="n"/>
      <c r="D223" s="15" t="n"/>
      <c r="E223" s="13">
        <f>SUM(E211:E222)</f>
        <v/>
      </c>
      <c r="F223" s="15" t="n"/>
    </row>
    <row r="224">
      <c r="A224" s="11" t="inlineStr">
        <is>
          <t>Agency Commission (15%)</t>
        </is>
      </c>
      <c r="B224" s="12" t="inlineStr">
        <is>
          <t>15%</t>
        </is>
      </c>
      <c r="C224" s="15" t="n"/>
      <c r="D224" s="15" t="n"/>
      <c r="E224" s="13">
        <f>E223*0.15</f>
        <v/>
      </c>
      <c r="F224" s="28" t="inlineStr">
        <is>
          <t>Agency management, planning &amp; execution fee</t>
        </is>
      </c>
    </row>
    <row r="225">
      <c r="A225" s="29" t="inlineStr">
        <is>
          <t>▶ EVENT 15: Saudi National Day (96th) – TOTAL</t>
        </is>
      </c>
      <c r="B225" s="29" t="n"/>
      <c r="C225" s="29" t="n"/>
      <c r="D225" s="29" t="n"/>
      <c r="E225" s="30">
        <f>E223+E224</f>
        <v/>
      </c>
      <c r="F225" s="29" t="n"/>
    </row>
    <row r="228">
      <c r="A228" s="1" t="inlineStr">
        <is>
          <t>Q4 EVENTS</t>
        </is>
      </c>
    </row>
    <row r="229">
      <c r="A229" s="21" t="inlineStr">
        <is>
          <t>EVENT 16: International Coffee Day | Date: October 1 | Attendance: 250 | SERA HQ</t>
        </is>
      </c>
    </row>
    <row r="230">
      <c r="A230" s="3" t="inlineStr">
        <is>
          <t>Cost Item</t>
        </is>
      </c>
      <c r="B230" s="3" t="inlineStr">
        <is>
          <t>Unit</t>
        </is>
      </c>
      <c r="C230" s="3" t="inlineStr">
        <is>
          <t>Qty</t>
        </is>
      </c>
      <c r="D230" s="3" t="inlineStr">
        <is>
          <t>Unit Price (SAR)</t>
        </is>
      </c>
      <c r="E230" s="3" t="inlineStr">
        <is>
          <t>Total (SAR)</t>
        </is>
      </c>
      <c r="F230" s="3" t="inlineStr">
        <is>
          <t>Notes</t>
        </is>
      </c>
    </row>
    <row r="231">
      <c r="A231" s="4" t="inlineStr">
        <is>
          <t>Venue</t>
        </is>
      </c>
      <c r="B231" s="5" t="inlineStr">
        <is>
          <t>SERA HQ</t>
        </is>
      </c>
      <c r="C231" s="5" t="n">
        <v>1</v>
      </c>
      <c r="D231" s="22" t="n">
        <v>0</v>
      </c>
      <c r="E231" s="23">
        <f>C231*D231</f>
        <v/>
      </c>
      <c r="F231" s="24" t="inlineStr">
        <is>
          <t>Internal</t>
        </is>
      </c>
    </row>
    <row r="232">
      <c r="A232" s="7" t="inlineStr">
        <is>
          <t>Professional Barista Station</t>
        </is>
      </c>
      <c r="B232" s="8" t="inlineStr">
        <is>
          <t>Package</t>
        </is>
      </c>
      <c r="C232" s="8" t="n">
        <v>1</v>
      </c>
      <c r="D232" s="25" t="n">
        <v>14000</v>
      </c>
      <c r="E232" s="26">
        <f>C232*D232</f>
        <v/>
      </c>
      <c r="F232" s="27" t="inlineStr">
        <is>
          <t>Specialty coffee equipment + 2 baristas</t>
        </is>
      </c>
    </row>
    <row r="233">
      <c r="A233" s="4" t="inlineStr">
        <is>
          <t>Arabic Coffee Ceremony (Dallah)</t>
        </is>
      </c>
      <c r="B233" s="5" t="inlineStr">
        <is>
          <t>Package</t>
        </is>
      </c>
      <c r="C233" s="5" t="n">
        <v>1</v>
      </c>
      <c r="D233" s="22" t="n">
        <v>8000</v>
      </c>
      <c r="E233" s="23">
        <f>C233*D233</f>
        <v/>
      </c>
      <c r="F233" s="24" t="inlineStr">
        <is>
          <t>Traditional service with premium dates + Saudiya coffee</t>
        </is>
      </c>
    </row>
    <row r="234">
      <c r="A234" s="7" t="inlineStr">
        <is>
          <t>International Coffee + Pastries</t>
        </is>
      </c>
      <c r="B234" s="8" t="inlineStr">
        <is>
          <t>Per person</t>
        </is>
      </c>
      <c r="C234" s="8" t="n">
        <v>250</v>
      </c>
      <c r="D234" s="25" t="n">
        <v>55</v>
      </c>
      <c r="E234" s="26">
        <f>C234*D234</f>
        <v/>
      </c>
      <c r="F234" s="27" t="inlineStr">
        <is>
          <t>Various coffees + gourmet pastries + chocolate</t>
        </is>
      </c>
    </row>
    <row r="235">
      <c r="A235" s="4" t="inlineStr">
        <is>
          <t>Coffee-Themed Décor &amp; Setup</t>
        </is>
      </c>
      <c r="B235" s="5" t="inlineStr">
        <is>
          <t>Package</t>
        </is>
      </c>
      <c r="C235" s="5" t="n">
        <v>1</v>
      </c>
      <c r="D235" s="22" t="n">
        <v>7000</v>
      </c>
      <c r="E235" s="23">
        <f>C235*D235</f>
        <v/>
      </c>
      <c r="F235" s="24" t="inlineStr">
        <is>
          <t>Full theming + bean displays</t>
        </is>
      </c>
    </row>
    <row r="236">
      <c r="A236" s="7" t="inlineStr">
        <is>
          <t>Photography</t>
        </is>
      </c>
      <c r="B236" s="8" t="inlineStr">
        <is>
          <t>2 hours</t>
        </is>
      </c>
      <c r="C236" s="8" t="n">
        <v>1</v>
      </c>
      <c r="D236" s="25" t="n">
        <v>3500</v>
      </c>
      <c r="E236" s="26">
        <f>C236*D236</f>
        <v/>
      </c>
      <c r="F236" s="27" t="inlineStr">
        <is>
          <t>Event coverage</t>
        </is>
      </c>
    </row>
    <row r="237">
      <c r="A237" s="11" t="inlineStr">
        <is>
          <t>Subtotal (Before Commission)</t>
        </is>
      </c>
      <c r="B237" s="15" t="n"/>
      <c r="C237" s="15" t="n"/>
      <c r="D237" s="15" t="n"/>
      <c r="E237" s="13">
        <f>SUM(E231:E236)</f>
        <v/>
      </c>
      <c r="F237" s="15" t="n"/>
    </row>
    <row r="238">
      <c r="A238" s="11" t="inlineStr">
        <is>
          <t>Agency Commission (15%)</t>
        </is>
      </c>
      <c r="B238" s="12" t="inlineStr">
        <is>
          <t>15%</t>
        </is>
      </c>
      <c r="C238" s="15" t="n"/>
      <c r="D238" s="15" t="n"/>
      <c r="E238" s="13">
        <f>E237*0.15</f>
        <v/>
      </c>
      <c r="F238" s="28" t="inlineStr">
        <is>
          <t>Agency management, planning &amp; execution fee</t>
        </is>
      </c>
    </row>
    <row r="239">
      <c r="A239" s="29" t="inlineStr">
        <is>
          <t>▶ EVENT 16: International Coffee Day – TOTAL</t>
        </is>
      </c>
      <c r="B239" s="29" t="n"/>
      <c r="C239" s="29" t="n"/>
      <c r="D239" s="29" t="n"/>
      <c r="E239" s="30">
        <f>E237+E238</f>
        <v/>
      </c>
      <c r="F239" s="29" t="n"/>
    </row>
    <row r="241">
      <c r="A241" s="21" t="inlineStr">
        <is>
          <t>EVENT 17: Cybersecurity Exhibition | Date: October TBD | Attendance: 250 | SERA HQ / Conference</t>
        </is>
      </c>
    </row>
    <row r="242">
      <c r="A242" s="3" t="inlineStr">
        <is>
          <t>Cost Item</t>
        </is>
      </c>
      <c r="B242" s="3" t="inlineStr">
        <is>
          <t>Unit</t>
        </is>
      </c>
      <c r="C242" s="3" t="inlineStr">
        <is>
          <t>Qty</t>
        </is>
      </c>
      <c r="D242" s="3" t="inlineStr">
        <is>
          <t>Unit Price (SAR)</t>
        </is>
      </c>
      <c r="E242" s="3" t="inlineStr">
        <is>
          <t>Total (SAR)</t>
        </is>
      </c>
      <c r="F242" s="3" t="inlineStr">
        <is>
          <t>Notes</t>
        </is>
      </c>
    </row>
    <row r="243">
      <c r="A243" s="4" t="inlineStr">
        <is>
          <t>Venue Setup</t>
        </is>
      </c>
      <c r="B243" s="5" t="inlineStr">
        <is>
          <t>SERA HQ</t>
        </is>
      </c>
      <c r="C243" s="5" t="n">
        <v>1</v>
      </c>
      <c r="D243" s="22" t="n">
        <v>12000</v>
      </c>
      <c r="E243" s="23">
        <f>C243*D243</f>
        <v/>
      </c>
      <c r="F243" s="24" t="inlineStr">
        <is>
          <t>Internal setup + additional infrastructure + networking</t>
        </is>
      </c>
    </row>
    <row r="244">
      <c r="A244" s="7" t="inlineStr">
        <is>
          <t>Interactive Exhibition Booths</t>
        </is>
      </c>
      <c r="B244" s="8" t="inlineStr">
        <is>
          <t>Per booth</t>
        </is>
      </c>
      <c r="C244" s="8" t="n">
        <v>6</v>
      </c>
      <c r="D244" s="25" t="n">
        <v>14000</v>
      </c>
      <c r="E244" s="26">
        <f>C244*D244</f>
        <v/>
      </c>
      <c r="F244" s="27" t="inlineStr">
        <is>
          <t>6 interactive cybersecurity demo stations with screens</t>
        </is>
      </c>
    </row>
    <row r="245">
      <c r="A245" s="4" t="inlineStr">
        <is>
          <t>Cybersecurity Expert Speakers</t>
        </is>
      </c>
      <c r="B245" s="5" t="inlineStr">
        <is>
          <t>Fee</t>
        </is>
      </c>
      <c r="C245" s="5" t="n">
        <v>2</v>
      </c>
      <c r="D245" s="22" t="n">
        <v>15000</v>
      </c>
      <c r="E245" s="23">
        <f>C245*D245</f>
        <v/>
      </c>
      <c r="F245" s="24" t="inlineStr">
        <is>
          <t>2 industry-leading experts</t>
        </is>
      </c>
    </row>
    <row r="246">
      <c r="A246" s="7" t="inlineStr">
        <is>
          <t>Interactive Simulations &amp; Demos</t>
        </is>
      </c>
      <c r="B246" s="8" t="inlineStr">
        <is>
          <t>Package</t>
        </is>
      </c>
      <c r="C246" s="8" t="n">
        <v>1</v>
      </c>
      <c r="D246" s="25" t="n">
        <v>22000</v>
      </c>
      <c r="E246" s="26">
        <f>C246*D246</f>
        <v/>
      </c>
      <c r="F246" s="27" t="inlineStr">
        <is>
          <t>Phishing demos, password games, VR, AI threats</t>
        </is>
      </c>
    </row>
    <row r="247">
      <c r="A247" s="4" t="inlineStr">
        <is>
          <t>Awareness Materials &amp; Branded Giveaways</t>
        </is>
      </c>
      <c r="B247" s="5" t="inlineStr">
        <is>
          <t>Per person</t>
        </is>
      </c>
      <c r="C247" s="5" t="n">
        <v>250</v>
      </c>
      <c r="D247" s="22" t="n">
        <v>60</v>
      </c>
      <c r="E247" s="23">
        <f>C247*D247</f>
        <v/>
      </c>
      <c r="F247" s="24" t="inlineStr">
        <is>
          <t>Secure USB, materials, guides, branded items</t>
        </is>
      </c>
    </row>
    <row r="248">
      <c r="A248" s="7" t="inlineStr">
        <is>
          <t>Catering (Full day)</t>
        </is>
      </c>
      <c r="B248" s="8" t="inlineStr">
        <is>
          <t>Per person</t>
        </is>
      </c>
      <c r="C248" s="8" t="n">
        <v>250</v>
      </c>
      <c r="D248" s="25" t="n">
        <v>165</v>
      </c>
      <c r="E248" s="26">
        <f>C248*D248</f>
        <v/>
      </c>
      <c r="F248" s="27" t="inlineStr">
        <is>
          <t>Lunch + 2 premium coffee breaks</t>
        </is>
      </c>
    </row>
    <row r="249">
      <c r="A249" s="4" t="inlineStr">
        <is>
          <t>Photography &amp; Videography</t>
        </is>
      </c>
      <c r="B249" s="5" t="inlineStr">
        <is>
          <t>Package</t>
        </is>
      </c>
      <c r="C249" s="5" t="n">
        <v>1</v>
      </c>
      <c r="D249" s="22" t="n">
        <v>12000</v>
      </c>
      <c r="E249" s="23">
        <f>C249*D249</f>
        <v/>
      </c>
      <c r="F249" s="24" t="inlineStr">
        <is>
          <t>Full day coverage + exhibition walkthrough video</t>
        </is>
      </c>
    </row>
    <row r="250">
      <c r="A250" s="7" t="inlineStr">
        <is>
          <t>Event Branding &amp; Design</t>
        </is>
      </c>
      <c r="B250" s="8" t="inlineStr">
        <is>
          <t>Package</t>
        </is>
      </c>
      <c r="C250" s="8" t="n">
        <v>1</v>
      </c>
      <c r="D250" s="25" t="n">
        <v>15000</v>
      </c>
      <c r="E250" s="26">
        <f>C250*D250</f>
        <v/>
      </c>
      <c r="F250" s="27" t="inlineStr">
        <is>
          <t>Booth designs, signage, materials, badges, digital content</t>
        </is>
      </c>
    </row>
    <row r="251">
      <c r="A251" s="11" t="inlineStr">
        <is>
          <t>Subtotal (Before Commission)</t>
        </is>
      </c>
      <c r="B251" s="15" t="n"/>
      <c r="C251" s="15" t="n"/>
      <c r="D251" s="15" t="n"/>
      <c r="E251" s="13">
        <f>SUM(E243:E250)</f>
        <v/>
      </c>
      <c r="F251" s="15" t="n"/>
    </row>
    <row r="252">
      <c r="A252" s="11" t="inlineStr">
        <is>
          <t>Agency Commission (15%)</t>
        </is>
      </c>
      <c r="B252" s="12" t="inlineStr">
        <is>
          <t>15%</t>
        </is>
      </c>
      <c r="C252" s="15" t="n"/>
      <c r="D252" s="15" t="n"/>
      <c r="E252" s="13">
        <f>E251*0.15</f>
        <v/>
      </c>
      <c r="F252" s="28" t="inlineStr">
        <is>
          <t>Agency management, planning &amp; execution fee</t>
        </is>
      </c>
    </row>
    <row r="253">
      <c r="A253" s="29" t="inlineStr">
        <is>
          <t>▶ EVENT 17: Cybersecurity Exhibition – TOTAL</t>
        </is>
      </c>
      <c r="B253" s="29" t="n"/>
      <c r="C253" s="29" t="n"/>
      <c r="D253" s="29" t="n"/>
      <c r="E253" s="30">
        <f>E251+E252</f>
        <v/>
      </c>
      <c r="F253" s="29" t="n"/>
    </row>
    <row r="255">
      <c r="A255" s="21" t="inlineStr">
        <is>
          <t>EVENT 18: World Mental Health Day | Date: October 10 | Attendance: 200 | SERA HQ</t>
        </is>
      </c>
    </row>
    <row r="256">
      <c r="A256" s="3" t="inlineStr">
        <is>
          <t>Cost Item</t>
        </is>
      </c>
      <c r="B256" s="3" t="inlineStr">
        <is>
          <t>Unit</t>
        </is>
      </c>
      <c r="C256" s="3" t="inlineStr">
        <is>
          <t>Qty</t>
        </is>
      </c>
      <c r="D256" s="3" t="inlineStr">
        <is>
          <t>Unit Price (SAR)</t>
        </is>
      </c>
      <c r="E256" s="3" t="inlineStr">
        <is>
          <t>Total (SAR)</t>
        </is>
      </c>
      <c r="F256" s="3" t="inlineStr">
        <is>
          <t>Notes</t>
        </is>
      </c>
    </row>
    <row r="257">
      <c r="A257" s="4" t="inlineStr">
        <is>
          <t>Venue</t>
        </is>
      </c>
      <c r="B257" s="5" t="inlineStr">
        <is>
          <t>SERA HQ</t>
        </is>
      </c>
      <c r="C257" s="5" t="n">
        <v>1</v>
      </c>
      <c r="D257" s="22" t="n">
        <v>0</v>
      </c>
      <c r="E257" s="23">
        <f>C257*D257</f>
        <v/>
      </c>
      <c r="F257" s="24" t="inlineStr">
        <is>
          <t>Internal</t>
        </is>
      </c>
    </row>
    <row r="258">
      <c r="A258" s="7" t="inlineStr">
        <is>
          <t>Wellness Expert / Psychologist</t>
        </is>
      </c>
      <c r="B258" s="8" t="inlineStr">
        <is>
          <t>Fee</t>
        </is>
      </c>
      <c r="C258" s="8" t="n">
        <v>1</v>
      </c>
      <c r="D258" s="25" t="n">
        <v>18000</v>
      </c>
      <c r="E258" s="26">
        <f>C258*D258</f>
        <v/>
      </c>
      <c r="F258" s="27" t="inlineStr">
        <is>
          <t>Mental health keynote speaker</t>
        </is>
      </c>
    </row>
    <row r="259">
      <c r="A259" s="4" t="inlineStr">
        <is>
          <t>Stress Management Workshop</t>
        </is>
      </c>
      <c r="B259" s="5" t="inlineStr">
        <is>
          <t>Package</t>
        </is>
      </c>
      <c r="C259" s="5" t="n">
        <v>1</v>
      </c>
      <c r="D259" s="22" t="n">
        <v>15000</v>
      </c>
      <c r="E259" s="23">
        <f>C259*D259</f>
        <v/>
      </c>
      <c r="F259" s="24" t="inlineStr">
        <is>
          <t>Interactive workshop + materials + exercises</t>
        </is>
      </c>
    </row>
    <row r="260">
      <c r="A260" s="7" t="inlineStr">
        <is>
          <t>Relaxation Zone Setup</t>
        </is>
      </c>
      <c r="B260" s="8" t="inlineStr">
        <is>
          <t>Package</t>
        </is>
      </c>
      <c r="C260" s="8" t="n">
        <v>1</v>
      </c>
      <c r="D260" s="25" t="n">
        <v>12000</v>
      </c>
      <c r="E260" s="26">
        <f>C260*D260</f>
        <v/>
      </c>
      <c r="F260" s="27" t="inlineStr">
        <is>
          <t>Calm space, massage chairs, aromatherapy, sound therapy</t>
        </is>
      </c>
    </row>
    <row r="261">
      <c r="A261" s="4" t="inlineStr">
        <is>
          <t>Healthy Refreshments</t>
        </is>
      </c>
      <c r="B261" s="5" t="inlineStr">
        <is>
          <t>Per person</t>
        </is>
      </c>
      <c r="C261" s="5" t="n">
        <v>200</v>
      </c>
      <c r="D261" s="22" t="n">
        <v>50</v>
      </c>
      <c r="E261" s="23">
        <f>C261*D261</f>
        <v/>
      </c>
      <c r="F261" s="24" t="inlineStr">
        <is>
          <t>Herbal teas, fruits, healthy snacks, smoothies</t>
        </is>
      </c>
    </row>
    <row r="262">
      <c r="A262" s="7" t="inlineStr">
        <is>
          <t>Wellness Giveaways</t>
        </is>
      </c>
      <c r="B262" s="8" t="inlineStr">
        <is>
          <t>Per person</t>
        </is>
      </c>
      <c r="C262" s="8" t="n">
        <v>200</v>
      </c>
      <c r="D262" s="25" t="n">
        <v>45</v>
      </c>
      <c r="E262" s="26">
        <f>C262*D262</f>
        <v/>
      </c>
      <c r="F262" s="27" t="inlineStr">
        <is>
          <t>Journals, essential oils, wellness kits, meditation app</t>
        </is>
      </c>
    </row>
    <row r="263">
      <c r="A263" s="4" t="inlineStr">
        <is>
          <t>Photography</t>
        </is>
      </c>
      <c r="B263" s="5" t="inlineStr">
        <is>
          <t>Half day</t>
        </is>
      </c>
      <c r="C263" s="5" t="n">
        <v>1</v>
      </c>
      <c r="D263" s="22" t="n">
        <v>3500</v>
      </c>
      <c r="E263" s="23">
        <f>C263*D263</f>
        <v/>
      </c>
      <c r="F263" s="24" t="inlineStr">
        <is>
          <t>Event coverage</t>
        </is>
      </c>
    </row>
    <row r="264">
      <c r="A264" s="11" t="inlineStr">
        <is>
          <t>Subtotal (Before Commission)</t>
        </is>
      </c>
      <c r="B264" s="15" t="n"/>
      <c r="C264" s="15" t="n"/>
      <c r="D264" s="15" t="n"/>
      <c r="E264" s="13">
        <f>SUM(E257:E263)</f>
        <v/>
      </c>
      <c r="F264" s="15" t="n"/>
    </row>
    <row r="265">
      <c r="A265" s="11" t="inlineStr">
        <is>
          <t>Agency Commission (15%)</t>
        </is>
      </c>
      <c r="B265" s="12" t="inlineStr">
        <is>
          <t>15%</t>
        </is>
      </c>
      <c r="C265" s="15" t="n"/>
      <c r="D265" s="15" t="n"/>
      <c r="E265" s="13">
        <f>E264*0.15</f>
        <v/>
      </c>
      <c r="F265" s="28" t="inlineStr">
        <is>
          <t>Agency management, planning &amp; execution fee</t>
        </is>
      </c>
    </row>
    <row r="266">
      <c r="A266" s="29" t="inlineStr">
        <is>
          <t>▶ EVENT 18: World Mental Health Day – TOTAL</t>
        </is>
      </c>
      <c r="B266" s="29" t="n"/>
      <c r="C266" s="29" t="n"/>
      <c r="D266" s="29" t="n"/>
      <c r="E266" s="30">
        <f>E264+E265</f>
        <v/>
      </c>
      <c r="F266" s="29" t="n"/>
    </row>
    <row r="268">
      <c r="A268" s="21" t="inlineStr">
        <is>
          <t>EVENT 19: Quality Day | Date: November 10 | Attendance: 180 | Business Hotel Conference</t>
        </is>
      </c>
    </row>
    <row r="269">
      <c r="A269" s="3" t="inlineStr">
        <is>
          <t>Cost Item</t>
        </is>
      </c>
      <c r="B269" s="3" t="inlineStr">
        <is>
          <t>Unit</t>
        </is>
      </c>
      <c r="C269" s="3" t="inlineStr">
        <is>
          <t>Qty</t>
        </is>
      </c>
      <c r="D269" s="3" t="inlineStr">
        <is>
          <t>Unit Price (SAR)</t>
        </is>
      </c>
      <c r="E269" s="3" t="inlineStr">
        <is>
          <t>Total (SAR)</t>
        </is>
      </c>
      <c r="F269" s="3" t="inlineStr">
        <is>
          <t>Notes</t>
        </is>
      </c>
    </row>
    <row r="270">
      <c r="A270" s="4" t="inlineStr">
        <is>
          <t>Venue (Conference room)</t>
        </is>
      </c>
      <c r="B270" s="5" t="inlineStr">
        <is>
          <t>Half day</t>
        </is>
      </c>
      <c r="C270" s="5" t="n">
        <v>1</v>
      </c>
      <c r="D270" s="22" t="n">
        <v>25000</v>
      </c>
      <c r="E270" s="23">
        <f>C270*D270</f>
        <v/>
      </c>
      <c r="F270" s="24" t="inlineStr">
        <is>
          <t>Professional conference setting</t>
        </is>
      </c>
    </row>
    <row r="271">
      <c r="A271" s="7" t="inlineStr">
        <is>
          <t>Catering (Lunch + 1 break)</t>
        </is>
      </c>
      <c r="B271" s="8" t="inlineStr">
        <is>
          <t>Per person</t>
        </is>
      </c>
      <c r="C271" s="8" t="n">
        <v>180</v>
      </c>
      <c r="D271" s="25" t="n">
        <v>145</v>
      </c>
      <c r="E271" s="26">
        <f>C271*D271</f>
        <v/>
      </c>
      <c r="F271" s="27" t="inlineStr">
        <is>
          <t>Half-day premium package</t>
        </is>
      </c>
    </row>
    <row r="272">
      <c r="A272" s="4" t="inlineStr">
        <is>
          <t>Quality Awards &amp; Recognition</t>
        </is>
      </c>
      <c r="B272" s="5" t="inlineStr">
        <is>
          <t>Set of 7</t>
        </is>
      </c>
      <c r="C272" s="5" t="n">
        <v>1</v>
      </c>
      <c r="D272" s="22" t="n">
        <v>10000</v>
      </c>
      <c r="E272" s="23">
        <f>C272*D272</f>
        <v/>
      </c>
      <c r="F272" s="24" t="inlineStr">
        <is>
          <t>7 quality awards + certificates + frames</t>
        </is>
      </c>
    </row>
    <row r="273">
      <c r="A273" s="7" t="inlineStr">
        <is>
          <t>Stage &amp; Presentation Setup</t>
        </is>
      </c>
      <c r="B273" s="8" t="inlineStr">
        <is>
          <t>Package</t>
        </is>
      </c>
      <c r="C273" s="8" t="n">
        <v>1</v>
      </c>
      <c r="D273" s="25" t="n">
        <v>10000</v>
      </c>
      <c r="E273" s="26">
        <f>C273*D273</f>
        <v/>
      </c>
      <c r="F273" s="27" t="inlineStr">
        <is>
          <t>Stage, screen, sound, podium, backdrop</t>
        </is>
      </c>
    </row>
    <row r="274">
      <c r="A274" s="4" t="inlineStr">
        <is>
          <t>Quality Expert Keynote Speaker</t>
        </is>
      </c>
      <c r="B274" s="5" t="inlineStr">
        <is>
          <t>Fee</t>
        </is>
      </c>
      <c r="C274" s="5" t="n">
        <v>1</v>
      </c>
      <c r="D274" s="22" t="n">
        <v>12000</v>
      </c>
      <c r="E274" s="23">
        <f>C274*D274</f>
        <v/>
      </c>
      <c r="F274" s="24" t="inlineStr">
        <is>
          <t>Quality/excellence expert</t>
        </is>
      </c>
    </row>
    <row r="275">
      <c r="A275" s="7" t="inlineStr">
        <is>
          <t>Photography</t>
        </is>
      </c>
      <c r="B275" s="8" t="inlineStr">
        <is>
          <t>Half day</t>
        </is>
      </c>
      <c r="C275" s="8" t="n">
        <v>1</v>
      </c>
      <c r="D275" s="25" t="n">
        <v>3500</v>
      </c>
      <c r="E275" s="26">
        <f>C275*D275</f>
        <v/>
      </c>
      <c r="F275" s="27" t="inlineStr">
        <is>
          <t>Event coverage</t>
        </is>
      </c>
    </row>
    <row r="276">
      <c r="A276" s="4" t="inlineStr">
        <is>
          <t>Event Branding &amp; Design</t>
        </is>
      </c>
      <c r="B276" s="5" t="inlineStr">
        <is>
          <t>Package</t>
        </is>
      </c>
      <c r="C276" s="5" t="n">
        <v>1</v>
      </c>
      <c r="D276" s="22" t="n">
        <v>14000</v>
      </c>
      <c r="E276" s="23">
        <f>C276*D276</f>
        <v/>
      </c>
      <c r="F276" s="24" t="inlineStr">
        <is>
          <t>Signage, certificates, backdrop, materials, social media, digital</t>
        </is>
      </c>
    </row>
    <row r="277">
      <c r="A277" s="11" t="inlineStr">
        <is>
          <t>Subtotal (Before Commission)</t>
        </is>
      </c>
      <c r="B277" s="15" t="n"/>
      <c r="C277" s="15" t="n"/>
      <c r="D277" s="15" t="n"/>
      <c r="E277" s="13">
        <f>SUM(E270:E276)</f>
        <v/>
      </c>
      <c r="F277" s="15" t="n"/>
    </row>
    <row r="278">
      <c r="A278" s="11" t="inlineStr">
        <is>
          <t>Agency Commission (15%)</t>
        </is>
      </c>
      <c r="B278" s="12" t="inlineStr">
        <is>
          <t>15%</t>
        </is>
      </c>
      <c r="C278" s="15" t="n"/>
      <c r="D278" s="15" t="n"/>
      <c r="E278" s="13">
        <f>E277*0.15</f>
        <v/>
      </c>
      <c r="F278" s="28" t="inlineStr">
        <is>
          <t>Agency management, planning &amp; execution fee</t>
        </is>
      </c>
    </row>
    <row r="279">
      <c r="A279" s="29" t="inlineStr">
        <is>
          <t>▶ EVENT 19: Quality Day – TOTAL</t>
        </is>
      </c>
      <c r="B279" s="29" t="n"/>
      <c r="C279" s="29" t="n"/>
      <c r="D279" s="29" t="n"/>
      <c r="E279" s="30">
        <f>E277+E278</f>
        <v/>
      </c>
      <c r="F279" s="29" t="n"/>
    </row>
    <row r="281">
      <c r="A281" s="21" t="inlineStr">
        <is>
          <t>EVENT 20: International Men's Day | Date: November 19 | Attendance: 200 | Event Space</t>
        </is>
      </c>
    </row>
    <row r="282">
      <c r="A282" s="3" t="inlineStr">
        <is>
          <t>Cost Item</t>
        </is>
      </c>
      <c r="B282" s="3" t="inlineStr">
        <is>
          <t>Unit</t>
        </is>
      </c>
      <c r="C282" s="3" t="inlineStr">
        <is>
          <t>Qty</t>
        </is>
      </c>
      <c r="D282" s="3" t="inlineStr">
        <is>
          <t>Unit Price (SAR)</t>
        </is>
      </c>
      <c r="E282" s="3" t="inlineStr">
        <is>
          <t>Total (SAR)</t>
        </is>
      </c>
      <c r="F282" s="3" t="inlineStr">
        <is>
          <t>Notes</t>
        </is>
      </c>
    </row>
    <row r="283">
      <c r="A283" s="4" t="inlineStr">
        <is>
          <t>Venue + Lunch/Dinner</t>
        </is>
      </c>
      <c r="B283" s="5" t="inlineStr">
        <is>
          <t>Per person</t>
        </is>
      </c>
      <c r="C283" s="5" t="n">
        <v>200</v>
      </c>
      <c r="D283" s="22" t="n">
        <v>210</v>
      </c>
      <c r="E283" s="23">
        <f>C283*D283</f>
        <v/>
      </c>
      <c r="F283" s="24" t="inlineStr">
        <is>
          <t>Private premium event space</t>
        </is>
      </c>
    </row>
    <row r="284">
      <c r="A284" s="7" t="inlineStr">
        <is>
          <t>Team Activities &amp; Competitions</t>
        </is>
      </c>
      <c r="B284" s="8" t="inlineStr">
        <is>
          <t>Package</t>
        </is>
      </c>
      <c r="C284" s="8" t="n">
        <v>1</v>
      </c>
      <c r="D284" s="25" t="n">
        <v>20000</v>
      </c>
      <c r="E284" s="26">
        <f>C284*D284</f>
        <v/>
      </c>
      <c r="F284" s="27" t="inlineStr">
        <is>
          <t>Team-building, sports competitions, prizes</t>
        </is>
      </c>
    </row>
    <row r="285">
      <c r="A285" s="4" t="inlineStr">
        <is>
          <t>Recognition Gifts</t>
        </is>
      </c>
      <c r="B285" s="5" t="inlineStr">
        <is>
          <t>Per person</t>
        </is>
      </c>
      <c r="C285" s="5" t="n">
        <v>200</v>
      </c>
      <c r="D285" s="22" t="n">
        <v>65</v>
      </c>
      <c r="E285" s="23">
        <f>C285*D285</f>
        <v/>
      </c>
      <c r="F285" s="24" t="inlineStr">
        <is>
          <t>Men's day premium gift</t>
        </is>
      </c>
    </row>
    <row r="286">
      <c r="A286" s="7" t="inlineStr">
        <is>
          <t>Photography</t>
        </is>
      </c>
      <c r="B286" s="8" t="inlineStr">
        <is>
          <t>3 hours</t>
        </is>
      </c>
      <c r="C286" s="8" t="n">
        <v>1</v>
      </c>
      <c r="D286" s="25" t="n">
        <v>4500</v>
      </c>
      <c r="E286" s="26">
        <f>C286*D286</f>
        <v/>
      </c>
      <c r="F286" s="27" t="inlineStr">
        <is>
          <t>Event coverage</t>
        </is>
      </c>
    </row>
    <row r="287">
      <c r="A287" s="4" t="inlineStr">
        <is>
          <t>Event Branding &amp; Design</t>
        </is>
      </c>
      <c r="B287" s="5" t="inlineStr">
        <is>
          <t>Package</t>
        </is>
      </c>
      <c r="C287" s="5" t="n">
        <v>1</v>
      </c>
      <c r="D287" s="22" t="n">
        <v>14000</v>
      </c>
      <c r="E287" s="23">
        <f>C287*D287</f>
        <v/>
      </c>
      <c r="F287" s="24" t="inlineStr">
        <is>
          <t>Invitations, signage, décor, social media kit, digital assets</t>
        </is>
      </c>
    </row>
    <row r="288">
      <c r="A288" s="11" t="inlineStr">
        <is>
          <t>Subtotal (Before Commission)</t>
        </is>
      </c>
      <c r="B288" s="15" t="n"/>
      <c r="C288" s="15" t="n"/>
      <c r="D288" s="15" t="n"/>
      <c r="E288" s="13">
        <f>SUM(E283:E287)</f>
        <v/>
      </c>
      <c r="F288" s="15" t="n"/>
    </row>
    <row r="289">
      <c r="A289" s="11" t="inlineStr">
        <is>
          <t>Agency Commission (15%)</t>
        </is>
      </c>
      <c r="B289" s="12" t="inlineStr">
        <is>
          <t>15%</t>
        </is>
      </c>
      <c r="C289" s="15" t="n"/>
      <c r="D289" s="15" t="n"/>
      <c r="E289" s="13">
        <f>E288*0.15</f>
        <v/>
      </c>
      <c r="F289" s="28" t="inlineStr">
        <is>
          <t>Agency management, planning &amp; execution fee</t>
        </is>
      </c>
    </row>
    <row r="290">
      <c r="A290" s="29" t="inlineStr">
        <is>
          <t>▶ EVENT 20: International Men's Day – TOTAL</t>
        </is>
      </c>
      <c r="B290" s="29" t="n"/>
      <c r="C290" s="29" t="n"/>
      <c r="D290" s="29" t="n"/>
      <c r="E290" s="30">
        <f>E288+E289</f>
        <v/>
      </c>
      <c r="F290" s="29" t="n"/>
    </row>
    <row r="292">
      <c r="A292" s="21" t="inlineStr">
        <is>
          <t>EVENT 21: Universal Children's Day | Date: November 20 | Attendance: 200 | Family Entertainment Venue</t>
        </is>
      </c>
    </row>
    <row r="293">
      <c r="A293" s="3" t="inlineStr">
        <is>
          <t>Cost Item</t>
        </is>
      </c>
      <c r="B293" s="3" t="inlineStr">
        <is>
          <t>Unit</t>
        </is>
      </c>
      <c r="C293" s="3" t="inlineStr">
        <is>
          <t>Qty</t>
        </is>
      </c>
      <c r="D293" s="3" t="inlineStr">
        <is>
          <t>Unit Price (SAR)</t>
        </is>
      </c>
      <c r="E293" s="3" t="inlineStr">
        <is>
          <t>Total (SAR)</t>
        </is>
      </c>
      <c r="F293" s="3" t="inlineStr">
        <is>
          <t>Notes</t>
        </is>
      </c>
    </row>
    <row r="294">
      <c r="A294" s="4" t="inlineStr">
        <is>
          <t>Venue (Family-friendly)</t>
        </is>
      </c>
      <c r="B294" s="5" t="inlineStr">
        <is>
          <t>4 hours</t>
        </is>
      </c>
      <c r="C294" s="5" t="n">
        <v>1</v>
      </c>
      <c r="D294" s="22" t="n">
        <v>30000</v>
      </c>
      <c r="E294" s="23">
        <f>C294*D294</f>
        <v/>
      </c>
      <c r="F294" s="24" t="inlineStr">
        <is>
          <t>Premium entertainment venue</t>
        </is>
      </c>
    </row>
    <row r="295">
      <c r="A295" s="7" t="inlineStr">
        <is>
          <t>Catering (Kids + Adults)</t>
        </is>
      </c>
      <c r="B295" s="8" t="inlineStr">
        <is>
          <t>Per person</t>
        </is>
      </c>
      <c r="C295" s="8" t="n">
        <v>200</v>
      </c>
      <c r="D295" s="25" t="n">
        <v>120</v>
      </c>
      <c r="E295" s="26">
        <f>C295*D295</f>
        <v/>
      </c>
      <c r="F295" s="27" t="inlineStr">
        <is>
          <t>Kid-friendly + adult menu + dessert station</t>
        </is>
      </c>
    </row>
    <row r="296">
      <c r="A296" s="4" t="inlineStr">
        <is>
          <t>Children's Professional Entertainment</t>
        </is>
      </c>
      <c r="B296" s="5" t="inlineStr">
        <is>
          <t>Package</t>
        </is>
      </c>
      <c r="C296" s="5" t="n">
        <v>1</v>
      </c>
      <c r="D296" s="22" t="n">
        <v>25000</v>
      </c>
      <c r="E296" s="23">
        <f>C296*D296</f>
        <v/>
      </c>
      <c r="F296" s="24" t="inlineStr">
        <is>
          <t>Characters, clown, games, face paint, magic, VR</t>
        </is>
      </c>
    </row>
    <row r="297">
      <c r="A297" s="7" t="inlineStr">
        <is>
          <t>Gifts for Children</t>
        </is>
      </c>
      <c r="B297" s="8" t="inlineStr">
        <is>
          <t>Per child</t>
        </is>
      </c>
      <c r="C297" s="8" t="n">
        <v>100</v>
      </c>
      <c r="D297" s="25" t="n">
        <v>80</v>
      </c>
      <c r="E297" s="26">
        <f>C297*D297</f>
        <v/>
      </c>
      <c r="F297" s="27" t="inlineStr">
        <is>
          <t>Premium toys, activity kits, branded items</t>
        </is>
      </c>
    </row>
    <row r="298">
      <c r="A298" s="4" t="inlineStr">
        <is>
          <t>Photography &amp; Videography</t>
        </is>
      </c>
      <c r="B298" s="5" t="inlineStr">
        <is>
          <t>Package</t>
        </is>
      </c>
      <c r="C298" s="5" t="n">
        <v>1</v>
      </c>
      <c r="D298" s="22" t="n">
        <v>6000</v>
      </c>
      <c r="E298" s="23">
        <f>C298*D298</f>
        <v/>
      </c>
      <c r="F298" s="24" t="inlineStr">
        <is>
          <t>Family event coverage + fun video</t>
        </is>
      </c>
    </row>
    <row r="299">
      <c r="A299" s="7" t="inlineStr">
        <is>
          <t>Event Branding &amp; Design</t>
        </is>
      </c>
      <c r="B299" s="8" t="inlineStr">
        <is>
          <t>Package</t>
        </is>
      </c>
      <c r="C299" s="8" t="n">
        <v>1</v>
      </c>
      <c r="D299" s="25" t="n">
        <v>14000</v>
      </c>
      <c r="E299" s="26">
        <f>C299*D299</f>
        <v/>
      </c>
      <c r="F299" s="27" t="inlineStr">
        <is>
          <t>Kid-friendly branded materials, photo spots, social media, digital</t>
        </is>
      </c>
    </row>
    <row r="300">
      <c r="A300" s="11" t="inlineStr">
        <is>
          <t>Subtotal (Before Commission)</t>
        </is>
      </c>
      <c r="B300" s="15" t="n"/>
      <c r="C300" s="15" t="n"/>
      <c r="D300" s="15" t="n"/>
      <c r="E300" s="13">
        <f>SUM(E294:E299)</f>
        <v/>
      </c>
      <c r="F300" s="15" t="n"/>
    </row>
    <row r="301">
      <c r="A301" s="11" t="inlineStr">
        <is>
          <t>Agency Commission (15%)</t>
        </is>
      </c>
      <c r="B301" s="12" t="inlineStr">
        <is>
          <t>15%</t>
        </is>
      </c>
      <c r="C301" s="15" t="n"/>
      <c r="D301" s="15" t="n"/>
      <c r="E301" s="13">
        <f>E300*0.15</f>
        <v/>
      </c>
      <c r="F301" s="28" t="inlineStr">
        <is>
          <t>Agency management, planning &amp; execution fee</t>
        </is>
      </c>
    </row>
    <row r="302">
      <c r="A302" s="29" t="inlineStr">
        <is>
          <t>▶ EVENT 21: Universal Children's Day – TOTAL</t>
        </is>
      </c>
      <c r="B302" s="29" t="n"/>
      <c r="C302" s="29" t="n"/>
      <c r="D302" s="29" t="n"/>
      <c r="E302" s="30">
        <f>E300+E301</f>
        <v/>
      </c>
      <c r="F302" s="29" t="n"/>
    </row>
    <row r="304">
      <c r="A304" s="21" t="inlineStr">
        <is>
          <t>EVENT 22: Volunteer Day | Date: December 5 | Attendance: 80 | Community Location</t>
        </is>
      </c>
    </row>
    <row r="305">
      <c r="A305" s="3" t="inlineStr">
        <is>
          <t>Cost Item</t>
        </is>
      </c>
      <c r="B305" s="3" t="inlineStr">
        <is>
          <t>Unit</t>
        </is>
      </c>
      <c r="C305" s="3" t="inlineStr">
        <is>
          <t>Qty</t>
        </is>
      </c>
      <c r="D305" s="3" t="inlineStr">
        <is>
          <t>Unit Price (SAR)</t>
        </is>
      </c>
      <c r="E305" s="3" t="inlineStr">
        <is>
          <t>Total (SAR)</t>
        </is>
      </c>
      <c r="F305" s="3" t="inlineStr">
        <is>
          <t>Notes</t>
        </is>
      </c>
    </row>
    <row r="306">
      <c r="A306" s="4" t="inlineStr">
        <is>
          <t>Transportation (Buses)</t>
        </is>
      </c>
      <c r="B306" s="5" t="inlineStr">
        <is>
          <t>Per bus</t>
        </is>
      </c>
      <c r="C306" s="5" t="n">
        <v>2</v>
      </c>
      <c r="D306" s="22" t="n">
        <v>3500</v>
      </c>
      <c r="E306" s="23">
        <f>C306*D306</f>
        <v/>
      </c>
      <c r="F306" s="24" t="inlineStr">
        <is>
          <t>SERA HQ to community location + return</t>
        </is>
      </c>
    </row>
    <row r="307">
      <c r="A307" s="7" t="inlineStr">
        <is>
          <t>Branded Volunteer T-Shirts + Caps</t>
        </is>
      </c>
      <c r="B307" s="8" t="inlineStr">
        <is>
          <t>Per person</t>
        </is>
      </c>
      <c r="C307" s="8" t="n">
        <v>80</v>
      </c>
      <c r="D307" s="25" t="n">
        <v>70</v>
      </c>
      <c r="E307" s="26">
        <f>C307*D307</f>
        <v/>
      </c>
      <c r="F307" s="27" t="inlineStr">
        <is>
          <t>SERA branded volunteer kit</t>
        </is>
      </c>
    </row>
    <row r="308">
      <c r="A308" s="4" t="inlineStr">
        <is>
          <t>Activity Materials &amp; Supplies</t>
        </is>
      </c>
      <c r="B308" s="5" t="inlineStr">
        <is>
          <t>Package</t>
        </is>
      </c>
      <c r="C308" s="5" t="n">
        <v>1</v>
      </c>
      <c r="D308" s="22" t="n">
        <v>10000</v>
      </c>
      <c r="E308" s="23">
        <f>C308*D308</f>
        <v/>
      </c>
      <c r="F308" s="24" t="inlineStr">
        <is>
          <t>Supplies for volunteer work + tools</t>
        </is>
      </c>
    </row>
    <row r="309">
      <c r="A309" s="7" t="inlineStr">
        <is>
          <t>Volunteer Lunch Boxes + Water</t>
        </is>
      </c>
      <c r="B309" s="8" t="inlineStr">
        <is>
          <t>Per person</t>
        </is>
      </c>
      <c r="C309" s="8" t="n">
        <v>80</v>
      </c>
      <c r="D309" s="25" t="n">
        <v>70</v>
      </c>
      <c r="E309" s="26">
        <f>C309*D309</f>
        <v/>
      </c>
      <c r="F309" s="27" t="inlineStr">
        <is>
          <t>Premium boxed lunches + snacks</t>
        </is>
      </c>
    </row>
    <row r="310">
      <c r="A310" s="4" t="inlineStr">
        <is>
          <t>Photography &amp; Videography</t>
        </is>
      </c>
      <c r="B310" s="5" t="inlineStr">
        <is>
          <t>Package</t>
        </is>
      </c>
      <c r="C310" s="5" t="n">
        <v>1</v>
      </c>
      <c r="D310" s="22" t="n">
        <v>7000</v>
      </c>
      <c r="E310" s="23">
        <f>C310*D310</f>
        <v/>
      </c>
      <c r="F310" s="24" t="inlineStr">
        <is>
          <t>Documentation + CSR highlight video</t>
        </is>
      </c>
    </row>
    <row r="311">
      <c r="A311" s="7" t="inlineStr">
        <is>
          <t>Appreciation Certificates &amp; Medals</t>
        </is>
      </c>
      <c r="B311" s="8" t="inlineStr">
        <is>
          <t>Per person</t>
        </is>
      </c>
      <c r="C311" s="8" t="n">
        <v>80</v>
      </c>
      <c r="D311" s="25" t="n">
        <v>25</v>
      </c>
      <c r="E311" s="26">
        <f>C311*D311</f>
        <v/>
      </c>
      <c r="F311" s="27" t="inlineStr">
        <is>
          <t>Premium volunteer recognition</t>
        </is>
      </c>
    </row>
    <row r="312">
      <c r="A312" s="11" t="inlineStr">
        <is>
          <t>Subtotal (Before Commission)</t>
        </is>
      </c>
      <c r="B312" s="15" t="n"/>
      <c r="C312" s="15" t="n"/>
      <c r="D312" s="15" t="n"/>
      <c r="E312" s="13">
        <f>SUM(E306:E311)</f>
        <v/>
      </c>
      <c r="F312" s="15" t="n"/>
    </row>
    <row r="313">
      <c r="A313" s="11" t="inlineStr">
        <is>
          <t>Agency Commission (15%)</t>
        </is>
      </c>
      <c r="B313" s="12" t="inlineStr">
        <is>
          <t>15%</t>
        </is>
      </c>
      <c r="C313" s="15" t="n"/>
      <c r="D313" s="15" t="n"/>
      <c r="E313" s="13">
        <f>E312*0.15</f>
        <v/>
      </c>
      <c r="F313" s="28" t="inlineStr">
        <is>
          <t>Agency management, planning &amp; execution fee</t>
        </is>
      </c>
    </row>
    <row r="314">
      <c r="A314" s="29" t="inlineStr">
        <is>
          <t>▶ EVENT 22: Volunteer Day – TOTAL</t>
        </is>
      </c>
      <c r="B314" s="29" t="n"/>
      <c r="C314" s="29" t="n"/>
      <c r="D314" s="29" t="n"/>
      <c r="E314" s="30">
        <f>E312+E313</f>
        <v/>
      </c>
      <c r="F314" s="29" t="n"/>
    </row>
    <row r="316">
      <c r="A316" s="21" t="inlineStr">
        <is>
          <t>EVENT 23: Anti-Corruption Day | Date: December 9 | Attendance: 200 | SERA HQ / Conference</t>
        </is>
      </c>
    </row>
    <row r="317">
      <c r="A317" s="3" t="inlineStr">
        <is>
          <t>Cost Item</t>
        </is>
      </c>
      <c r="B317" s="3" t="inlineStr">
        <is>
          <t>Unit</t>
        </is>
      </c>
      <c r="C317" s="3" t="inlineStr">
        <is>
          <t>Qty</t>
        </is>
      </c>
      <c r="D317" s="3" t="inlineStr">
        <is>
          <t>Unit Price (SAR)</t>
        </is>
      </c>
      <c r="E317" s="3" t="inlineStr">
        <is>
          <t>Total (SAR)</t>
        </is>
      </c>
      <c r="F317" s="3" t="inlineStr">
        <is>
          <t>Notes</t>
        </is>
      </c>
    </row>
    <row r="318">
      <c r="A318" s="4" t="inlineStr">
        <is>
          <t>Venue</t>
        </is>
      </c>
      <c r="B318" s="5" t="inlineStr">
        <is>
          <t>SERA HQ</t>
        </is>
      </c>
      <c r="C318" s="5" t="n">
        <v>1</v>
      </c>
      <c r="D318" s="22" t="n">
        <v>0</v>
      </c>
      <c r="E318" s="23">
        <f>C318*D318</f>
        <v/>
      </c>
      <c r="F318" s="24" t="inlineStr">
        <is>
          <t>Internal</t>
        </is>
      </c>
    </row>
    <row r="319">
      <c r="A319" s="7" t="inlineStr">
        <is>
          <t>Ethics Expert / Nazaha Speaker</t>
        </is>
      </c>
      <c r="B319" s="8" t="inlineStr">
        <is>
          <t>Fee</t>
        </is>
      </c>
      <c r="C319" s="8" t="n">
        <v>1</v>
      </c>
      <c r="D319" s="25" t="n">
        <v>20000</v>
      </c>
      <c r="E319" s="26">
        <f>C319*D319</f>
        <v/>
      </c>
      <c r="F319" s="32" t="inlineStr">
        <is>
          <t>[NOTE] Price depends on speaker – Nazaha rep or ethics expert</t>
        </is>
      </c>
    </row>
    <row r="320">
      <c r="A320" s="4" t="inlineStr">
        <is>
          <t>Pledge Wall &amp; Integrity Display</t>
        </is>
      </c>
      <c r="B320" s="5" t="inlineStr">
        <is>
          <t>Package</t>
        </is>
      </c>
      <c r="C320" s="5" t="n">
        <v>1</v>
      </c>
      <c r="D320" s="22" t="n">
        <v>8000</v>
      </c>
      <c r="E320" s="23">
        <f>C320*D320</f>
        <v/>
      </c>
      <c r="F320" s="24" t="inlineStr">
        <is>
          <t>Interactive pledge wall + signing ceremony + LED display</t>
        </is>
      </c>
    </row>
    <row r="321">
      <c r="A321" s="7" t="inlineStr">
        <is>
          <t>Awareness Materials &amp; Booklets</t>
        </is>
      </c>
      <c r="B321" s="8" t="inlineStr">
        <is>
          <t>Per person</t>
        </is>
      </c>
      <c r="C321" s="8" t="n">
        <v>200</v>
      </c>
      <c r="D321" s="25" t="n">
        <v>30</v>
      </c>
      <c r="E321" s="26">
        <f>C321*D321</f>
        <v/>
      </c>
      <c r="F321" s="27" t="inlineStr">
        <is>
          <t>Brochures, ethics guide booklets, policy summary</t>
        </is>
      </c>
    </row>
    <row r="322">
      <c r="A322" s="4" t="inlineStr">
        <is>
          <t>Light Refreshments</t>
        </is>
      </c>
      <c r="B322" s="5" t="inlineStr">
        <is>
          <t>Per person</t>
        </is>
      </c>
      <c r="C322" s="5" t="n">
        <v>200</v>
      </c>
      <c r="D322" s="22" t="n">
        <v>50</v>
      </c>
      <c r="E322" s="23">
        <f>C322*D322</f>
        <v/>
      </c>
      <c r="F322" s="24" t="inlineStr">
        <is>
          <t>Coffee, premium snacks</t>
        </is>
      </c>
    </row>
    <row r="323">
      <c r="A323" s="7" t="inlineStr">
        <is>
          <t>Photography</t>
        </is>
      </c>
      <c r="B323" s="8" t="inlineStr">
        <is>
          <t>Half day</t>
        </is>
      </c>
      <c r="C323" s="8" t="n">
        <v>1</v>
      </c>
      <c r="D323" s="25" t="n">
        <v>3500</v>
      </c>
      <c r="E323" s="26">
        <f>C323*D323</f>
        <v/>
      </c>
      <c r="F323" s="27" t="inlineStr">
        <is>
          <t>Event coverage</t>
        </is>
      </c>
    </row>
    <row r="324">
      <c r="A324" s="4" t="inlineStr">
        <is>
          <t>Event Branding &amp; Design</t>
        </is>
      </c>
      <c r="B324" s="5" t="inlineStr">
        <is>
          <t>Package</t>
        </is>
      </c>
      <c r="C324" s="5" t="n">
        <v>1</v>
      </c>
      <c r="D324" s="22" t="n">
        <v>14000</v>
      </c>
      <c r="E324" s="23">
        <f>C324*D324</f>
        <v/>
      </c>
      <c r="F324" s="24" t="inlineStr">
        <is>
          <t>Signage, materials, social media kit, digital assets</t>
        </is>
      </c>
    </row>
    <row r="325">
      <c r="A325" s="11" t="inlineStr">
        <is>
          <t>Subtotal (Before Commission)</t>
        </is>
      </c>
      <c r="B325" s="15" t="n"/>
      <c r="C325" s="15" t="n"/>
      <c r="D325" s="15" t="n"/>
      <c r="E325" s="13">
        <f>SUM(E318:E324)</f>
        <v/>
      </c>
      <c r="F325" s="15" t="n"/>
    </row>
    <row r="326">
      <c r="A326" s="11" t="inlineStr">
        <is>
          <t>Agency Commission (15%)</t>
        </is>
      </c>
      <c r="B326" s="12" t="inlineStr">
        <is>
          <t>15%</t>
        </is>
      </c>
      <c r="C326" s="15" t="n"/>
      <c r="D326" s="15" t="n"/>
      <c r="E326" s="13">
        <f>E325*0.15</f>
        <v/>
      </c>
      <c r="F326" s="28" t="inlineStr">
        <is>
          <t>Agency management, planning &amp; execution fee</t>
        </is>
      </c>
    </row>
    <row r="327">
      <c r="A327" s="29" t="inlineStr">
        <is>
          <t>▶ EVENT 23: Anti-Corruption Day – TOTAL</t>
        </is>
      </c>
      <c r="B327" s="29" t="n"/>
      <c r="C327" s="29" t="n"/>
      <c r="D327" s="29" t="n"/>
      <c r="E327" s="30">
        <f>E325+E326</f>
        <v/>
      </c>
      <c r="F327" s="29" t="n"/>
    </row>
    <row r="329">
      <c r="A329" s="21" t="inlineStr">
        <is>
          <t>EVENT 24: Arabic Language Day | Date: December 18 | Attendance: 200 | Cultural Venue</t>
        </is>
      </c>
    </row>
    <row r="330">
      <c r="A330" s="3" t="inlineStr">
        <is>
          <t>Cost Item</t>
        </is>
      </c>
      <c r="B330" s="3" t="inlineStr">
        <is>
          <t>Unit</t>
        </is>
      </c>
      <c r="C330" s="3" t="inlineStr">
        <is>
          <t>Qty</t>
        </is>
      </c>
      <c r="D330" s="3" t="inlineStr">
        <is>
          <t>Unit Price (SAR)</t>
        </is>
      </c>
      <c r="E330" s="3" t="inlineStr">
        <is>
          <t>Total (SAR)</t>
        </is>
      </c>
      <c r="F330" s="3" t="inlineStr">
        <is>
          <t>Notes</t>
        </is>
      </c>
    </row>
    <row r="331">
      <c r="A331" s="4" t="inlineStr">
        <is>
          <t>Venue (Cultural setting)</t>
        </is>
      </c>
      <c r="B331" s="5" t="inlineStr">
        <is>
          <t>3 hours</t>
        </is>
      </c>
      <c r="C331" s="5" t="n">
        <v>1</v>
      </c>
      <c r="D331" s="22" t="n">
        <v>20000</v>
      </c>
      <c r="E331" s="23">
        <f>C331*D331</f>
        <v/>
      </c>
      <c r="F331" s="24" t="inlineStr">
        <is>
          <t>Cultural center or elegant hall</t>
        </is>
      </c>
    </row>
    <row r="332">
      <c r="A332" s="7" t="inlineStr">
        <is>
          <t>Poet / Arabic Author Guest</t>
        </is>
      </c>
      <c r="B332" s="8" t="inlineStr">
        <is>
          <t>Fee</t>
        </is>
      </c>
      <c r="C332" s="8" t="n">
        <v>1</v>
      </c>
      <c r="D332" s="25" t="n">
        <v>15000</v>
      </c>
      <c r="E332" s="26">
        <f>C332*D332</f>
        <v/>
      </c>
      <c r="F332" s="27" t="inlineStr">
        <is>
          <t>Arabic literature figure + book signing</t>
        </is>
      </c>
    </row>
    <row r="333">
      <c r="A333" s="4" t="inlineStr">
        <is>
          <t>Live Calligraphy Workshop</t>
        </is>
      </c>
      <c r="B333" s="5" t="inlineStr">
        <is>
          <t>Package</t>
        </is>
      </c>
      <c r="C333" s="5" t="n">
        <v>1</v>
      </c>
      <c r="D333" s="22" t="n">
        <v>10000</v>
      </c>
      <c r="E333" s="23">
        <f>C333*D333</f>
        <v/>
      </c>
      <c r="F333" s="24" t="inlineStr">
        <is>
          <t>Professional calligrapher + materials for 80</t>
        </is>
      </c>
    </row>
    <row r="334">
      <c r="A334" s="7" t="inlineStr">
        <is>
          <t>Arabic Poetry Reading / Recital</t>
        </is>
      </c>
      <c r="B334" s="8" t="inlineStr">
        <is>
          <t>Package</t>
        </is>
      </c>
      <c r="C334" s="8" t="n">
        <v>1</v>
      </c>
      <c r="D334" s="25" t="n">
        <v>9000</v>
      </c>
      <c r="E334" s="26">
        <f>C334*D334</f>
        <v/>
      </c>
      <c r="F334" s="27" t="inlineStr">
        <is>
          <t>Professional recital performance + music</t>
        </is>
      </c>
    </row>
    <row r="335">
      <c r="A335" s="4" t="inlineStr">
        <is>
          <t>Traditional Arabic Refreshments</t>
        </is>
      </c>
      <c r="B335" s="5" t="inlineStr">
        <is>
          <t>Per person</t>
        </is>
      </c>
      <c r="C335" s="5" t="n">
        <v>200</v>
      </c>
      <c r="D335" s="22" t="n">
        <v>60</v>
      </c>
      <c r="E335" s="23">
        <f>C335*D335</f>
        <v/>
      </c>
      <c r="F335" s="24" t="inlineStr">
        <is>
          <t>Arabic coffee, dates, premium sweets, luqaimat</t>
        </is>
      </c>
    </row>
    <row r="336">
      <c r="A336" s="7" t="inlineStr">
        <is>
          <t>Cultural Décor (Calligraphy art)</t>
        </is>
      </c>
      <c r="B336" s="8" t="inlineStr">
        <is>
          <t>Package</t>
        </is>
      </c>
      <c r="C336" s="8" t="n">
        <v>1</v>
      </c>
      <c r="D336" s="25" t="n">
        <v>8000</v>
      </c>
      <c r="E336" s="26">
        <f>C336*D336</f>
        <v/>
      </c>
      <c r="F336" s="27" t="inlineStr">
        <is>
          <t>Arabic calligraphy displays + art + manuscripts</t>
        </is>
      </c>
    </row>
    <row r="337">
      <c r="A337" s="4" t="inlineStr">
        <is>
          <t>Photography</t>
        </is>
      </c>
      <c r="B337" s="5" t="inlineStr">
        <is>
          <t>3 hours</t>
        </is>
      </c>
      <c r="C337" s="5" t="n">
        <v>1</v>
      </c>
      <c r="D337" s="22" t="n">
        <v>4500</v>
      </c>
      <c r="E337" s="23">
        <f>C337*D337</f>
        <v/>
      </c>
      <c r="F337" s="24" t="inlineStr">
        <is>
          <t>Event coverage</t>
        </is>
      </c>
    </row>
    <row r="338">
      <c r="A338" s="7" t="inlineStr">
        <is>
          <t>Event Branding &amp; Design</t>
        </is>
      </c>
      <c r="B338" s="8" t="inlineStr">
        <is>
          <t>Package</t>
        </is>
      </c>
      <c r="C338" s="8" t="n">
        <v>1</v>
      </c>
      <c r="D338" s="25" t="n">
        <v>14000</v>
      </c>
      <c r="E338" s="26">
        <f>C338*D338</f>
        <v/>
      </c>
      <c r="F338" s="27" t="inlineStr">
        <is>
          <t>Arabic-themed invitations, signage, social media kit, digital assets</t>
        </is>
      </c>
    </row>
    <row r="339">
      <c r="A339" s="11" t="inlineStr">
        <is>
          <t>Subtotal (Before Commission)</t>
        </is>
      </c>
      <c r="B339" s="15" t="n"/>
      <c r="C339" s="15" t="n"/>
      <c r="D339" s="15" t="n"/>
      <c r="E339" s="13">
        <f>SUM(E331:E338)</f>
        <v/>
      </c>
      <c r="F339" s="15" t="n"/>
    </row>
    <row r="340">
      <c r="A340" s="11" t="inlineStr">
        <is>
          <t>Agency Commission (15%)</t>
        </is>
      </c>
      <c r="B340" s="12" t="inlineStr">
        <is>
          <t>15%</t>
        </is>
      </c>
      <c r="C340" s="15" t="n"/>
      <c r="D340" s="15" t="n"/>
      <c r="E340" s="13">
        <f>E339*0.15</f>
        <v/>
      </c>
      <c r="F340" s="28" t="inlineStr">
        <is>
          <t>Agency management, planning &amp; execution fee</t>
        </is>
      </c>
    </row>
    <row r="341">
      <c r="A341" s="29" t="inlineStr">
        <is>
          <t>▶ EVENT 24: Arabic Language Day – TOTAL</t>
        </is>
      </c>
      <c r="B341" s="29" t="n"/>
      <c r="C341" s="29" t="n"/>
      <c r="D341" s="29" t="n"/>
      <c r="E341" s="30">
        <f>E339+E340</f>
        <v/>
      </c>
      <c r="F341" s="29" t="n"/>
    </row>
    <row r="343">
      <c r="A343" s="21" t="inlineStr">
        <is>
          <t>EVENT 25: Year-End Celebration | Date: Late December | Attendance: 300 | 5-Star Hotel – Premium Gala</t>
        </is>
      </c>
    </row>
    <row r="344">
      <c r="A344" s="3" t="inlineStr">
        <is>
          <t>Cost Item</t>
        </is>
      </c>
      <c r="B344" s="3" t="inlineStr">
        <is>
          <t>Unit</t>
        </is>
      </c>
      <c r="C344" s="3" t="inlineStr">
        <is>
          <t>Qty</t>
        </is>
      </c>
      <c r="D344" s="3" t="inlineStr">
        <is>
          <t>Unit Price (SAR)</t>
        </is>
      </c>
      <c r="E344" s="3" t="inlineStr">
        <is>
          <t>Total (SAR)</t>
        </is>
      </c>
      <c r="F344" s="3" t="inlineStr">
        <is>
          <t>Notes</t>
        </is>
      </c>
    </row>
    <row r="345">
      <c r="A345" s="4" t="inlineStr">
        <is>
          <t>Venue Rental (Premium Gala setup)</t>
        </is>
      </c>
      <c r="B345" s="5" t="inlineStr">
        <is>
          <t>Evening</t>
        </is>
      </c>
      <c r="C345" s="5" t="n">
        <v>1</v>
      </c>
      <c r="D345" s="22" t="n">
        <v>70000</v>
      </c>
      <c r="E345" s="23">
        <f>C345*D345</f>
        <v/>
      </c>
      <c r="F345" s="31" t="inlineStr">
        <is>
          <t>[NOTE] Book 3 months ahead – December peak season</t>
        </is>
      </c>
    </row>
    <row r="346">
      <c r="A346" s="7" t="inlineStr">
        <is>
          <t>Catering – Premium Gala Dinner</t>
        </is>
      </c>
      <c r="B346" s="8" t="inlineStr">
        <is>
          <t>Per person</t>
        </is>
      </c>
      <c r="C346" s="8" t="n">
        <v>300</v>
      </c>
      <c r="D346" s="25" t="n">
        <v>395</v>
      </c>
      <c r="E346" s="26">
        <f>C346*D346</f>
        <v/>
      </c>
      <c r="F346" s="27" t="inlineStr">
        <is>
          <t>Live cooking stations, international premium menu + dessert bar</t>
        </is>
      </c>
    </row>
    <row r="347">
      <c r="A347" s="4" t="inlineStr">
        <is>
          <t>Stage &amp; Premium Year-End Décor</t>
        </is>
      </c>
      <c r="B347" s="5" t="inlineStr">
        <is>
          <t>Package</t>
        </is>
      </c>
      <c r="C347" s="5" t="n">
        <v>1</v>
      </c>
      <c r="D347" s="22" t="n">
        <v>48000</v>
      </c>
      <c r="E347" s="23">
        <f>C347*D347</f>
        <v/>
      </c>
      <c r="F347" s="24" t="inlineStr">
        <is>
          <t>Elegant theme + year-end branding + immersive lighting design</t>
        </is>
      </c>
    </row>
    <row r="348">
      <c r="A348" s="7" t="inlineStr">
        <is>
          <t>Premium Entertainment (Band + Acts)</t>
        </is>
      </c>
      <c r="B348" s="8" t="inlineStr">
        <is>
          <t>Package</t>
        </is>
      </c>
      <c r="C348" s="8" t="n">
        <v>1</v>
      </c>
      <c r="D348" s="25" t="n">
        <v>38000</v>
      </c>
      <c r="E348" s="26">
        <f>C348*D348</f>
        <v/>
      </c>
      <c r="F348" s="27" t="inlineStr">
        <is>
          <t>High-quality headline entertainment + performer</t>
        </is>
      </c>
    </row>
    <row r="349">
      <c r="A349" s="4" t="inlineStr">
        <is>
          <t>LED Video Wall &amp; Full AV Production</t>
        </is>
      </c>
      <c r="B349" s="5" t="inlineStr">
        <is>
          <t>Package</t>
        </is>
      </c>
      <c r="C349" s="5" t="n">
        <v>1</v>
      </c>
      <c r="D349" s="22" t="n">
        <v>26000</v>
      </c>
      <c r="E349" s="23">
        <f>C349*D349</f>
        <v/>
      </c>
      <c r="F349" s="24" t="inlineStr">
        <is>
          <t>Year-review video playback + full production + effects</t>
        </is>
      </c>
    </row>
    <row r="350">
      <c r="A350" s="7" t="inlineStr">
        <is>
          <t>Annual Awards Ceremony Package</t>
        </is>
      </c>
      <c r="B350" s="8" t="inlineStr">
        <is>
          <t>Package</t>
        </is>
      </c>
      <c r="C350" s="8" t="n">
        <v>1</v>
      </c>
      <c r="D350" s="25" t="n">
        <v>20000</v>
      </c>
      <c r="E350" s="26">
        <f>C350*D350</f>
        <v/>
      </c>
      <c r="F350" s="27" t="inlineStr">
        <is>
          <t>15 trophies, recognition displays, awards video, frames</t>
        </is>
      </c>
    </row>
    <row r="351">
      <c r="A351" s="4" t="inlineStr">
        <is>
          <t>Photography &amp; Videography (Full team)</t>
        </is>
      </c>
      <c r="B351" s="5" t="inlineStr">
        <is>
          <t>Package</t>
        </is>
      </c>
      <c r="C351" s="5" t="n">
        <v>1</v>
      </c>
      <c r="D351" s="22" t="n">
        <v>22000</v>
      </c>
      <c r="E351" s="23">
        <f>C351*D351</f>
        <v/>
      </c>
      <c r="F351" s="24" t="inlineStr">
        <is>
          <t>Complete professional coverage + same-day preview</t>
        </is>
      </c>
    </row>
    <row r="352">
      <c r="A352" s="7" t="inlineStr">
        <is>
          <t>Year-End Premium Gifts</t>
        </is>
      </c>
      <c r="B352" s="8" t="inlineStr">
        <is>
          <t>Per person</t>
        </is>
      </c>
      <c r="C352" s="8" t="n">
        <v>300</v>
      </c>
      <c r="D352" s="25" t="n">
        <v>185</v>
      </c>
      <c r="E352" s="26">
        <f>C352*D352</f>
        <v/>
      </c>
      <c r="F352" s="27" t="inlineStr">
        <is>
          <t>Premium thank-you gift box with personalized item</t>
        </is>
      </c>
    </row>
    <row r="353">
      <c r="A353" s="4" t="inlineStr">
        <is>
          <t>Professional MC (Premium)</t>
        </is>
      </c>
      <c r="B353" s="5" t="inlineStr">
        <is>
          <t>Full event</t>
        </is>
      </c>
      <c r="C353" s="5" t="n">
        <v>1</v>
      </c>
      <c r="D353" s="22" t="n">
        <v>15000</v>
      </c>
      <c r="E353" s="23">
        <f>C353*D353</f>
        <v/>
      </c>
      <c r="F353" s="24" t="inlineStr">
        <is>
          <t>High-profile gala host</t>
        </is>
      </c>
    </row>
    <row r="354">
      <c r="A354" s="7" t="inlineStr">
        <is>
          <t>Event Branding &amp; Design</t>
        </is>
      </c>
      <c r="B354" s="8" t="inlineStr">
        <is>
          <t>Package</t>
        </is>
      </c>
      <c r="C354" s="8" t="n">
        <v>1</v>
      </c>
      <c r="D354" s="25" t="n">
        <v>18000</v>
      </c>
      <c r="E354" s="26">
        <f>C354*D354</f>
        <v/>
      </c>
      <c r="F354" s="27" t="inlineStr">
        <is>
          <t>Invitations, backdrop, table cards, menus, signage, social media, video</t>
        </is>
      </c>
    </row>
    <row r="355">
      <c r="A355" s="11" t="inlineStr">
        <is>
          <t>Subtotal (Before Commission)</t>
        </is>
      </c>
      <c r="B355" s="15" t="n"/>
      <c r="C355" s="15" t="n"/>
      <c r="D355" s="15" t="n"/>
      <c r="E355" s="13">
        <f>SUM(E345:E354)</f>
        <v/>
      </c>
      <c r="F355" s="15" t="n"/>
    </row>
    <row r="356">
      <c r="A356" s="11" t="inlineStr">
        <is>
          <t>Agency Commission (15%)</t>
        </is>
      </c>
      <c r="B356" s="12" t="inlineStr">
        <is>
          <t>15%</t>
        </is>
      </c>
      <c r="C356" s="15" t="n"/>
      <c r="D356" s="15" t="n"/>
      <c r="E356" s="13">
        <f>E355*0.15</f>
        <v/>
      </c>
      <c r="F356" s="28" t="inlineStr">
        <is>
          <t>Agency management, planning &amp; execution fee</t>
        </is>
      </c>
    </row>
    <row r="357">
      <c r="A357" s="29" t="inlineStr">
        <is>
          <t>▶ EVENT 25: Year-End Celebration – TOTAL</t>
        </is>
      </c>
      <c r="B357" s="29" t="n"/>
      <c r="C357" s="29" t="n"/>
      <c r="D357" s="29" t="n"/>
      <c r="E357" s="30">
        <f>E355+E356</f>
        <v/>
      </c>
      <c r="F357" s="29" t="n"/>
    </row>
    <row r="360">
      <c r="A360" s="1" t="inlineStr">
        <is>
          <t>NEWSLETTERS EVENTS</t>
        </is>
      </c>
    </row>
    <row r="361">
      <c r="A361" s="21" t="inlineStr">
        <is>
          <t>ANNUAL: 52 Weekly Internal Newsletters | Date: Full Year 2026 | Attendance: 52 | Digital + Print Distribution</t>
        </is>
      </c>
    </row>
    <row r="362">
      <c r="A362" s="3" t="inlineStr">
        <is>
          <t>Cost Item</t>
        </is>
      </c>
      <c r="B362" s="3" t="inlineStr">
        <is>
          <t>Unit</t>
        </is>
      </c>
      <c r="C362" s="3" t="inlineStr">
        <is>
          <t>Qty</t>
        </is>
      </c>
      <c r="D362" s="3" t="inlineStr">
        <is>
          <t>Unit Price (SAR)</t>
        </is>
      </c>
      <c r="E362" s="3" t="inlineStr">
        <is>
          <t>Total (SAR)</t>
        </is>
      </c>
      <c r="F362" s="3" t="inlineStr">
        <is>
          <t>Notes</t>
        </is>
      </c>
    </row>
    <row r="363">
      <c r="A363" s="4" t="inlineStr">
        <is>
          <t>Newsletter Content Writing (Arabic)</t>
        </is>
      </c>
      <c r="B363" s="5" t="inlineStr">
        <is>
          <t>Per issue</t>
        </is>
      </c>
      <c r="C363" s="5" t="n">
        <v>52</v>
      </c>
      <c r="D363" s="22" t="n">
        <v>2500</v>
      </c>
      <c r="E363" s="23">
        <f>C363*D363</f>
        <v/>
      </c>
      <c r="F363" s="24" t="inlineStr">
        <is>
          <t>Professional Arabic content writer, research, interviews</t>
        </is>
      </c>
    </row>
    <row r="364">
      <c r="A364" s="7" t="inlineStr">
        <is>
          <t>Newsletter Content Writing (English)</t>
        </is>
      </c>
      <c r="B364" s="8" t="inlineStr">
        <is>
          <t>Per issue</t>
        </is>
      </c>
      <c r="C364" s="8" t="n">
        <v>52</v>
      </c>
      <c r="D364" s="25" t="n">
        <v>2000</v>
      </c>
      <c r="E364" s="26">
        <f>C364*D364</f>
        <v/>
      </c>
      <c r="F364" s="27" t="inlineStr">
        <is>
          <t>English version / bilingual adaptation</t>
        </is>
      </c>
    </row>
    <row r="365">
      <c r="A365" s="4" t="inlineStr">
        <is>
          <t>Graphic Design &amp; Layout</t>
        </is>
      </c>
      <c r="B365" s="5" t="inlineStr">
        <is>
          <t>Per issue</t>
        </is>
      </c>
      <c r="C365" s="5" t="n">
        <v>52</v>
      </c>
      <c r="D365" s="22" t="n">
        <v>2200</v>
      </c>
      <c r="E365" s="23">
        <f>C365*D365</f>
        <v/>
      </c>
      <c r="F365" s="24" t="inlineStr">
        <is>
          <t>Custom branded template, infographics, illustrations</t>
        </is>
      </c>
    </row>
    <row r="366">
      <c r="A366" s="7" t="inlineStr">
        <is>
          <t>Photography for Newsletter Content</t>
        </is>
      </c>
      <c r="B366" s="8" t="inlineStr">
        <is>
          <t>Per month</t>
        </is>
      </c>
      <c r="C366" s="8" t="n">
        <v>12</v>
      </c>
      <c r="D366" s="25" t="n">
        <v>3000</v>
      </c>
      <c r="E366" s="26">
        <f>C366*D366</f>
        <v/>
      </c>
      <c r="F366" s="27" t="inlineStr">
        <is>
          <t>Monthly photoshoot for newsletter imagery</t>
        </is>
      </c>
    </row>
    <row r="367">
      <c r="A367" s="4" t="inlineStr">
        <is>
          <t>Editorial Management &amp; Review</t>
        </is>
      </c>
      <c r="B367" s="5" t="inlineStr">
        <is>
          <t>Per month</t>
        </is>
      </c>
      <c r="C367" s="5" t="n">
        <v>12</v>
      </c>
      <c r="D367" s="22" t="n">
        <v>4500</v>
      </c>
      <c r="E367" s="23">
        <f>C367*D367</f>
        <v/>
      </c>
      <c r="F367" s="24" t="inlineStr">
        <is>
          <t>Editor-in-chief, editorial calendar, quality control</t>
        </is>
      </c>
    </row>
    <row r="368">
      <c r="A368" s="7" t="inlineStr">
        <is>
          <t>Digital Distribution Platform</t>
        </is>
      </c>
      <c r="B368" s="8" t="inlineStr">
        <is>
          <t>Per month</t>
        </is>
      </c>
      <c r="C368" s="8" t="n">
        <v>12</v>
      </c>
      <c r="D368" s="25" t="n">
        <v>1500</v>
      </c>
      <c r="E368" s="26">
        <f>C368*D368</f>
        <v/>
      </c>
      <c r="F368" s="27" t="inlineStr">
        <is>
          <t>Email platform, analytics, distribution management</t>
        </is>
      </c>
    </row>
    <row r="369">
      <c r="A369" s="4" t="inlineStr">
        <is>
          <t>Print Production (Limited VIP copies)</t>
        </is>
      </c>
      <c r="B369" s="5" t="inlineStr">
        <is>
          <t>Per issue</t>
        </is>
      </c>
      <c r="C369" s="5" t="n">
        <v>52</v>
      </c>
      <c r="D369" s="22" t="n">
        <v>800</v>
      </c>
      <c r="E369" s="23">
        <f>C369*D369</f>
        <v/>
      </c>
      <c r="F369" s="31" t="inlineStr">
        <is>
          <t>[NOTE] 50 printed copies per issue for VIP/leadership distribution</t>
        </is>
      </c>
    </row>
    <row r="370">
      <c r="A370" s="7" t="inlineStr">
        <is>
          <t>Annual Newsletter Strategy &amp; Planning</t>
        </is>
      </c>
      <c r="B370" s="8" t="inlineStr">
        <is>
          <t>Package</t>
        </is>
      </c>
      <c r="C370" s="8" t="n">
        <v>1</v>
      </c>
      <c r="D370" s="25" t="n">
        <v>15000</v>
      </c>
      <c r="E370" s="26">
        <f>C370*D370</f>
        <v/>
      </c>
      <c r="F370" s="27" t="inlineStr">
        <is>
          <t>Content strategy, editorial calendar, themes alignment</t>
        </is>
      </c>
    </row>
    <row r="371">
      <c r="A371" s="11" t="inlineStr">
        <is>
          <t>Subtotal (Before Commission)</t>
        </is>
      </c>
      <c r="B371" s="15" t="n"/>
      <c r="C371" s="15" t="n"/>
      <c r="D371" s="15" t="n"/>
      <c r="E371" s="13">
        <f>SUM(E363:E370)</f>
        <v/>
      </c>
      <c r="F371" s="15" t="n"/>
    </row>
    <row r="372">
      <c r="A372" s="11" t="inlineStr">
        <is>
          <t>Agency Commission (15%)</t>
        </is>
      </c>
      <c r="B372" s="12" t="inlineStr">
        <is>
          <t>15%</t>
        </is>
      </c>
      <c r="C372" s="15" t="n"/>
      <c r="D372" s="15" t="n"/>
      <c r="E372" s="13">
        <f>E371*0.15</f>
        <v/>
      </c>
      <c r="F372" s="28" t="inlineStr">
        <is>
          <t>Agency management, planning &amp; execution fee</t>
        </is>
      </c>
    </row>
    <row r="373">
      <c r="A373" s="29" t="inlineStr">
        <is>
          <t>▶ ANNUAL: 52 Weekly Internal Newsletters – TOTAL</t>
        </is>
      </c>
      <c r="B373" s="29" t="n"/>
      <c r="C373" s="29" t="n"/>
      <c r="D373" s="29" t="n"/>
      <c r="E373" s="30">
        <f>E371+E372</f>
        <v/>
      </c>
      <c r="F373" s="29" t="n"/>
    </row>
    <row r="376">
      <c r="A376" s="1" t="inlineStr">
        <is>
          <t>QUARTERLY &amp; ANNUAL TOTALS</t>
        </is>
      </c>
    </row>
    <row r="377">
      <c r="A377" s="33" t="inlineStr">
        <is>
          <t>Q1 TOTAL</t>
        </is>
      </c>
      <c r="B377" s="33" t="n"/>
      <c r="C377" s="33" t="n"/>
      <c r="D377" s="33" t="n"/>
      <c r="E377" s="34">
        <f>E24+E39+E53+E67+E80+E92</f>
        <v/>
      </c>
      <c r="F377" s="33" t="inlineStr">
        <is>
          <t>6 events</t>
        </is>
      </c>
    </row>
    <row r="378">
      <c r="A378" s="33" t="inlineStr">
        <is>
          <t>Q2 TOTAL</t>
        </is>
      </c>
      <c r="B378" s="33" t="n"/>
      <c r="C378" s="33" t="n"/>
      <c r="D378" s="33" t="n"/>
      <c r="E378" s="34">
        <f>E110+E125+E137+E150+E161+E176</f>
        <v/>
      </c>
      <c r="F378" s="33" t="inlineStr">
        <is>
          <t>6 events</t>
        </is>
      </c>
    </row>
    <row r="379">
      <c r="A379" s="33" t="inlineStr">
        <is>
          <t>Q3 TOTAL</t>
        </is>
      </c>
      <c r="B379" s="33" t="n"/>
      <c r="C379" s="33" t="n"/>
      <c r="D379" s="33" t="n"/>
      <c r="E379" s="34">
        <f>E195+E207+E225</f>
        <v/>
      </c>
      <c r="F379" s="33" t="inlineStr">
        <is>
          <t>3 events</t>
        </is>
      </c>
    </row>
    <row r="380">
      <c r="A380" s="33" t="inlineStr">
        <is>
          <t>Q4 TOTAL</t>
        </is>
      </c>
      <c r="B380" s="33" t="n"/>
      <c r="C380" s="33" t="n"/>
      <c r="D380" s="33" t="n"/>
      <c r="E380" s="34">
        <f>E239+E253+E266+E279+E290+E302+E314+E327+E341+E357</f>
        <v/>
      </c>
      <c r="F380" s="33" t="inlineStr">
        <is>
          <t>10 events</t>
        </is>
      </c>
    </row>
    <row r="381">
      <c r="A381" s="33" t="inlineStr">
        <is>
          <t>52 WEEKLY NEWSLETTERS TOTAL</t>
        </is>
      </c>
      <c r="B381" s="33" t="n"/>
      <c r="C381" s="33" t="n"/>
      <c r="D381" s="33" t="n"/>
      <c r="E381" s="34">
        <f>E373</f>
        <v/>
      </c>
      <c r="F381" s="33" t="inlineStr">
        <is>
          <t>52 issues / year</t>
        </is>
      </c>
    </row>
    <row r="383">
      <c r="A383" s="35" t="inlineStr">
        <is>
          <t>ALL EVENTS + NEWSLETTERS SUBTOTAL (Excl. Sports)</t>
        </is>
      </c>
      <c r="B383" s="35" t="n"/>
      <c r="C383" s="35" t="n"/>
      <c r="D383" s="35" t="n"/>
      <c r="E383" s="36">
        <f>E377+E378+E379+E380+E381</f>
        <v/>
      </c>
      <c r="F383" s="35" t="n"/>
    </row>
    <row r="385">
      <c r="A385" s="11" t="inlineStr">
        <is>
          <t>Sports Events Total</t>
        </is>
      </c>
      <c r="B385" s="15" t="n"/>
      <c r="C385" s="15" t="n"/>
      <c r="D385" s="15" t="n"/>
      <c r="E385" s="13">
        <f>'Sports Budget'!E2</f>
        <v/>
      </c>
      <c r="F385" s="37" t="inlineStr">
        <is>
          <t>← Linked from Sports Budget sheet</t>
        </is>
      </c>
    </row>
    <row r="387">
      <c r="A387" s="35" t="inlineStr">
        <is>
          <t>GRAND TOTAL (Excluding VAT)</t>
        </is>
      </c>
      <c r="B387" s="35" t="n"/>
      <c r="C387" s="35" t="n"/>
      <c r="D387" s="35" t="n"/>
      <c r="E387" s="36">
        <f>E383+E385</f>
        <v/>
      </c>
      <c r="F387" s="35" t="n"/>
    </row>
    <row r="388">
      <c r="A388" s="11" t="inlineStr">
        <is>
          <t>VAT (15%)</t>
        </is>
      </c>
      <c r="B388" s="15" t="n"/>
      <c r="C388" s="15" t="n"/>
      <c r="D388" s="15" t="n"/>
      <c r="E388" s="13">
        <f>E387*0.15</f>
        <v/>
      </c>
      <c r="F388" s="15" t="n"/>
    </row>
    <row r="389">
      <c r="A389" s="38" t="inlineStr">
        <is>
          <t>★ GRAND TOTAL (Including 15% VAT)</t>
        </is>
      </c>
      <c r="B389" s="38" t="n"/>
      <c r="C389" s="38" t="n"/>
      <c r="D389" s="38" t="n"/>
      <c r="E389" s="39">
        <f>E387+E388</f>
        <v/>
      </c>
      <c r="F389" s="38" t="n"/>
    </row>
    <row r="391">
      <c r="A391" s="40" t="inlineStr">
        <is>
          <t>With 10% Contingency Reserve</t>
        </is>
      </c>
      <c r="B391" s="41" t="n"/>
      <c r="C391" s="41" t="n"/>
      <c r="D391" s="41" t="n"/>
      <c r="E391" s="42">
        <f>E389*1.1</f>
        <v/>
      </c>
      <c r="F391" s="41" t="n"/>
    </row>
  </sheetData>
  <mergeCells count="34">
    <mergeCell ref="A41:F41"/>
    <mergeCell ref="A316:F316"/>
    <mergeCell ref="A292:F292"/>
    <mergeCell ref="A268:F268"/>
    <mergeCell ref="A255:F255"/>
    <mergeCell ref="A163:F163"/>
    <mergeCell ref="A139:F139"/>
    <mergeCell ref="A26:F26"/>
    <mergeCell ref="A55:F55"/>
    <mergeCell ref="A179:F179"/>
    <mergeCell ref="A376:F376"/>
    <mergeCell ref="A95:F95"/>
    <mergeCell ref="A2:F2"/>
    <mergeCell ref="A5:F5"/>
    <mergeCell ref="A361:F361"/>
    <mergeCell ref="A96:F96"/>
    <mergeCell ref="A209:F209"/>
    <mergeCell ref="A180:F180"/>
    <mergeCell ref="A152:F152"/>
    <mergeCell ref="A112:F112"/>
    <mergeCell ref="A229:F229"/>
    <mergeCell ref="A329:F329"/>
    <mergeCell ref="A127:F127"/>
    <mergeCell ref="A304:F304"/>
    <mergeCell ref="A82:F82"/>
    <mergeCell ref="A1:F1"/>
    <mergeCell ref="A197:F197"/>
    <mergeCell ref="A241:F241"/>
    <mergeCell ref="A343:F343"/>
    <mergeCell ref="A281:F281"/>
    <mergeCell ref="A6:F6"/>
    <mergeCell ref="A228:F228"/>
    <mergeCell ref="A69:F69"/>
    <mergeCell ref="A360:F36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D6A4F"/>
    <outlinePr summaryBelow="1" summaryRight="1"/>
    <pageSetUpPr/>
  </sheetPr>
  <dimension ref="A1:F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8" customWidth="1" min="3" max="3"/>
    <col width="18" customWidth="1" min="4" max="4"/>
    <col width="20" customWidth="1" min="5" max="5"/>
    <col width="50" customWidth="1" min="6" max="6"/>
  </cols>
  <sheetData>
    <row r="1">
      <c r="A1" s="1" t="inlineStr">
        <is>
          <t>SERA 2026 — SPORTS EVENTS BUDGET</t>
        </is>
      </c>
    </row>
    <row r="2">
      <c r="A2" s="19" t="inlineStr">
        <is>
          <t>SPORTS GRAND TOTAL (inc. 15% Commission)</t>
        </is>
      </c>
      <c r="B2" s="19" t="n"/>
      <c r="C2" s="19" t="n"/>
      <c r="D2" s="19" t="n"/>
      <c r="E2" s="20">
        <f>E30+E54</f>
        <v/>
      </c>
      <c r="F2" s="19" t="n"/>
    </row>
    <row r="4">
      <c r="A4" s="21" t="inlineStr">
        <is>
          <t>FOOTBALL TOURNAMENT | 10 Teams x 15 Players = 150 Players | Men Only | 3 Weekends (6 match days)</t>
        </is>
      </c>
    </row>
    <row r="5">
      <c r="A5" s="3" t="inlineStr">
        <is>
          <t>Cost Item</t>
        </is>
      </c>
      <c r="B5" s="3" t="inlineStr">
        <is>
          <t>Unit</t>
        </is>
      </c>
      <c r="C5" s="3" t="inlineStr">
        <is>
          <t>Qty</t>
        </is>
      </c>
      <c r="D5" s="3" t="inlineStr">
        <is>
          <t>Unit Price (SAR)</t>
        </is>
      </c>
      <c r="E5" s="3" t="inlineStr">
        <is>
          <t>Total (SAR)</t>
        </is>
      </c>
      <c r="F5" s="3" t="inlineStr">
        <is>
          <t>Notes</t>
        </is>
      </c>
    </row>
    <row r="6">
      <c r="A6" s="12" t="inlineStr">
        <is>
          <t>Football Pitch Rental (2 pitches)</t>
        </is>
      </c>
      <c r="B6" s="12" t="inlineStr">
        <is>
          <t>Per day</t>
        </is>
      </c>
      <c r="C6" s="12" t="n">
        <v>6</v>
      </c>
      <c r="D6" s="43" t="n">
        <v>7000</v>
      </c>
      <c r="E6" s="18">
        <f>C6*D6</f>
        <v/>
      </c>
      <c r="F6" s="28" t="inlineStr">
        <is>
          <t>6 match days, 2 parallel pitches</t>
        </is>
      </c>
    </row>
    <row r="7">
      <c r="A7" s="44" t="inlineStr">
        <is>
          <t>Team Jerseys (Numbered + SERA logo)</t>
        </is>
      </c>
      <c r="B7" s="44" t="inlineStr">
        <is>
          <t>Per set of 15</t>
        </is>
      </c>
      <c r="C7" s="44" t="n">
        <v>10</v>
      </c>
      <c r="D7" s="45" t="n">
        <v>2800</v>
      </c>
      <c r="E7" s="46">
        <f>C7*D7</f>
        <v/>
      </c>
      <c r="F7" s="47" t="inlineStr">
        <is>
          <t>10 teams x 15 jerseys, unique colors</t>
        </is>
      </c>
    </row>
    <row r="8">
      <c r="A8" s="12" t="inlineStr">
        <is>
          <t>Tournament Match Balls (Official)</t>
        </is>
      </c>
      <c r="B8" s="12" t="inlineStr">
        <is>
          <t>Per ball</t>
        </is>
      </c>
      <c r="C8" s="12" t="n">
        <v>15</v>
      </c>
      <c r="D8" s="43" t="n">
        <v>180</v>
      </c>
      <c r="E8" s="18">
        <f>C8*D8</f>
        <v/>
      </c>
      <c r="F8" s="28" t="inlineStr">
        <is>
          <t>Official match balls + spares</t>
        </is>
      </c>
    </row>
    <row r="9">
      <c r="A9" s="44" t="inlineStr">
        <is>
          <t>Training Equipment (Cones, bibs, etc.)</t>
        </is>
      </c>
      <c r="B9" s="44" t="inlineStr">
        <is>
          <t>Package</t>
        </is>
      </c>
      <c r="C9" s="44" t="n">
        <v>1</v>
      </c>
      <c r="D9" s="45" t="n">
        <v>2000</v>
      </c>
      <c r="E9" s="46">
        <f>C9*D9</f>
        <v/>
      </c>
      <c r="F9" s="47" t="inlineStr">
        <is>
          <t>Shared training equipment</t>
        </is>
      </c>
    </row>
    <row r="10">
      <c r="A10" s="12" t="inlineStr">
        <is>
          <t>Main Referees</t>
        </is>
      </c>
      <c r="B10" s="12" t="inlineStr">
        <is>
          <t>Per match</t>
        </is>
      </c>
      <c r="C10" s="12" t="n">
        <v>15</v>
      </c>
      <c r="D10" s="43" t="n">
        <v>500</v>
      </c>
      <c r="E10" s="18">
        <f>C10*D10</f>
        <v/>
      </c>
      <c r="F10" s="48" t="inlineStr">
        <is>
          <t>[NOTE] Riyadh-based Saudi FA certified – no travel</t>
        </is>
      </c>
    </row>
    <row r="11">
      <c r="A11" s="44" t="inlineStr">
        <is>
          <t>Assistant Referees (Linesmen)</t>
        </is>
      </c>
      <c r="B11" s="44" t="inlineStr">
        <is>
          <t>Per match</t>
        </is>
      </c>
      <c r="C11" s="44" t="n">
        <v>15</v>
      </c>
      <c r="D11" s="45" t="n">
        <v>300</v>
      </c>
      <c r="E11" s="46">
        <f>C11*D11</f>
        <v/>
      </c>
      <c r="F11" s="47" t="inlineStr">
        <is>
          <t>2 per match</t>
        </is>
      </c>
    </row>
    <row r="12">
      <c r="A12" s="12" t="inlineStr">
        <is>
          <t>Tournament Coordinator</t>
        </is>
      </c>
      <c r="B12" s="12" t="inlineStr">
        <is>
          <t>Per tournament</t>
        </is>
      </c>
      <c r="C12" s="12" t="n">
        <v>1</v>
      </c>
      <c r="D12" s="43" t="n">
        <v>8000</v>
      </c>
      <c r="E12" s="18">
        <f>C12*D12</f>
        <v/>
      </c>
      <c r="F12" s="28" t="inlineStr">
        <is>
          <t>Full tournament management + bracket</t>
        </is>
      </c>
    </row>
    <row r="13">
      <c r="A13" s="44" t="inlineStr">
        <is>
          <t>First Aid / Medical Staff</t>
        </is>
      </c>
      <c r="B13" s="44" t="inlineStr">
        <is>
          <t>Per day</t>
        </is>
      </c>
      <c r="C13" s="44" t="n">
        <v>6</v>
      </c>
      <c r="D13" s="45" t="n">
        <v>1000</v>
      </c>
      <c r="E13" s="46">
        <f>C13*D13</f>
        <v/>
      </c>
      <c r="F13" s="47" t="inlineStr">
        <is>
          <t>On-site medical support – mandatory</t>
        </is>
      </c>
    </row>
    <row r="14">
      <c r="A14" s="12" t="inlineStr">
        <is>
          <t>Champion Trophy (Large Crystal)</t>
        </is>
      </c>
      <c r="B14" s="12" t="inlineStr">
        <is>
          <t>Trophy</t>
        </is>
      </c>
      <c r="C14" s="12" t="n">
        <v>1</v>
      </c>
      <c r="D14" s="43" t="n">
        <v>4500</v>
      </c>
      <c r="E14" s="18">
        <f>C14*D14</f>
        <v/>
      </c>
      <c r="F14" s="28" t="inlineStr">
        <is>
          <t>Premium crystal trophy</t>
        </is>
      </c>
    </row>
    <row r="15">
      <c r="A15" s="44" t="inlineStr">
        <is>
          <t>Runner-Up Trophy</t>
        </is>
      </c>
      <c r="B15" s="44" t="inlineStr">
        <is>
          <t>Trophy</t>
        </is>
      </c>
      <c r="C15" s="44" t="n">
        <v>1</v>
      </c>
      <c r="D15" s="45" t="n">
        <v>2500</v>
      </c>
      <c r="E15" s="46">
        <f>C15*D15</f>
        <v/>
      </c>
      <c r="F15" s="47" t="inlineStr"/>
    </row>
    <row r="16">
      <c r="A16" s="12" t="inlineStr">
        <is>
          <t>Third Place Trophy</t>
        </is>
      </c>
      <c r="B16" s="12" t="inlineStr">
        <is>
          <t>Trophy</t>
        </is>
      </c>
      <c r="C16" s="12" t="n">
        <v>1</v>
      </c>
      <c r="D16" s="43" t="n">
        <v>2000</v>
      </c>
      <c r="E16" s="18">
        <f>C16*D16</f>
        <v/>
      </c>
      <c r="F16" s="28" t="inlineStr"/>
    </row>
    <row r="17">
      <c r="A17" s="44" t="inlineStr">
        <is>
          <t>MVP Award</t>
        </is>
      </c>
      <c r="B17" s="44" t="inlineStr">
        <is>
          <t>Award</t>
        </is>
      </c>
      <c r="C17" s="44" t="n">
        <v>1</v>
      </c>
      <c r="D17" s="45" t="n">
        <v>600</v>
      </c>
      <c r="E17" s="46">
        <f>C17*D17</f>
        <v/>
      </c>
      <c r="F17" s="47" t="inlineStr"/>
    </row>
    <row r="18">
      <c r="A18" s="12" t="inlineStr">
        <is>
          <t>Top Scorer Award (Golden Boot)</t>
        </is>
      </c>
      <c r="B18" s="12" t="inlineStr">
        <is>
          <t>Award</t>
        </is>
      </c>
      <c r="C18" s="12" t="n">
        <v>1</v>
      </c>
      <c r="D18" s="43" t="n">
        <v>600</v>
      </c>
      <c r="E18" s="18">
        <f>C18*D18</f>
        <v/>
      </c>
      <c r="F18" s="28" t="inlineStr"/>
    </row>
    <row r="19">
      <c r="A19" s="44" t="inlineStr">
        <is>
          <t>Best Goalkeeper Award</t>
        </is>
      </c>
      <c r="B19" s="44" t="inlineStr">
        <is>
          <t>Award</t>
        </is>
      </c>
      <c r="C19" s="44" t="n">
        <v>1</v>
      </c>
      <c r="D19" s="45" t="n">
        <v>600</v>
      </c>
      <c r="E19" s="46">
        <f>C19*D19</f>
        <v/>
      </c>
      <c r="F19" s="47" t="inlineStr"/>
    </row>
    <row r="20">
      <c r="A20" s="12" t="inlineStr">
        <is>
          <t>Best Player per Team Award</t>
        </is>
      </c>
      <c r="B20" s="12" t="inlineStr">
        <is>
          <t>Award</t>
        </is>
      </c>
      <c r="C20" s="12" t="n">
        <v>10</v>
      </c>
      <c r="D20" s="43" t="n">
        <v>600</v>
      </c>
      <c r="E20" s="18">
        <f>C20*D20</f>
        <v/>
      </c>
      <c r="F20" s="48" t="inlineStr">
        <is>
          <t>[NOTE] Optional – 1 per team recognition</t>
        </is>
      </c>
    </row>
    <row r="21">
      <c r="A21" s="44" t="inlineStr">
        <is>
          <t>Medals (Top 3 teams)</t>
        </is>
      </c>
      <c r="B21" s="44" t="inlineStr">
        <is>
          <t>Per medal</t>
        </is>
      </c>
      <c r="C21" s="44" t="n">
        <v>45</v>
      </c>
      <c r="D21" s="45" t="n">
        <v>60</v>
      </c>
      <c r="E21" s="46">
        <f>C21*D21</f>
        <v/>
      </c>
      <c r="F21" s="47" t="inlineStr">
        <is>
          <t>15 players x 3 teams</t>
        </is>
      </c>
    </row>
    <row r="22">
      <c r="A22" s="12" t="inlineStr">
        <is>
          <t>Player Refreshments</t>
        </is>
      </c>
      <c r="B22" s="12" t="inlineStr">
        <is>
          <t>Per day</t>
        </is>
      </c>
      <c r="C22" s="12" t="n">
        <v>6</v>
      </c>
      <c r="D22" s="43" t="n">
        <v>2000</v>
      </c>
      <c r="E22" s="18">
        <f>C22*D22</f>
        <v/>
      </c>
      <c r="F22" s="28" t="inlineStr">
        <is>
          <t>Water, isotonic drinks, fruits, snacks</t>
        </is>
      </c>
    </row>
    <row r="23">
      <c r="A23" s="44" t="inlineStr">
        <is>
          <t>Post-Match Light Meals</t>
        </is>
      </c>
      <c r="B23" s="44" t="inlineStr">
        <is>
          <t>Per day</t>
        </is>
      </c>
      <c r="C23" s="44" t="n">
        <v>6</v>
      </c>
      <c r="D23" s="45" t="n">
        <v>1200</v>
      </c>
      <c r="E23" s="46">
        <f>C23*D23</f>
        <v/>
      </c>
      <c r="F23" s="49" t="inlineStr">
        <is>
          <t>[NOTE] Optional – post-match meal for players</t>
        </is>
      </c>
    </row>
    <row r="24">
      <c r="A24" s="12" t="inlineStr">
        <is>
          <t>Sports Photographer</t>
        </is>
      </c>
      <c r="B24" s="12" t="inlineStr">
        <is>
          <t>Per day</t>
        </is>
      </c>
      <c r="C24" s="12" t="n">
        <v>6</v>
      </c>
      <c r="D24" s="43" t="n">
        <v>2000</v>
      </c>
      <c r="E24" s="18">
        <f>C24*D24</f>
        <v/>
      </c>
      <c r="F24" s="28" t="inlineStr">
        <is>
          <t>Match + ceremony photos</t>
        </is>
      </c>
    </row>
    <row r="25">
      <c r="A25" s="44" t="inlineStr">
        <is>
          <t>Digital Scoreboard Display</t>
        </is>
      </c>
      <c r="B25" s="44" t="inlineStr">
        <is>
          <t>Per day</t>
        </is>
      </c>
      <c r="C25" s="44" t="n">
        <v>6</v>
      </c>
      <c r="D25" s="45" t="n">
        <v>600</v>
      </c>
      <c r="E25" s="46">
        <f>C25*D25</f>
        <v/>
      </c>
      <c r="F25" s="49" t="inlineStr">
        <is>
          <t>[NOTE] Digital display if venue supports</t>
        </is>
      </c>
    </row>
    <row r="26">
      <c r="A26" s="12" t="inlineStr">
        <is>
          <t>Social Media Tournament Coverage</t>
        </is>
      </c>
      <c r="B26" s="12" t="inlineStr">
        <is>
          <t>Package</t>
        </is>
      </c>
      <c r="C26" s="12" t="n">
        <v>1</v>
      </c>
      <c r="D26" s="43" t="n">
        <v>3000</v>
      </c>
      <c r="E26" s="18">
        <f>C26*D26</f>
        <v/>
      </c>
      <c r="F26" s="28" t="inlineStr">
        <is>
          <t>Live updates, stories, highlights</t>
        </is>
      </c>
    </row>
    <row r="27">
      <c r="A27" s="44" t="inlineStr">
        <is>
          <t>Opening Ceremony</t>
        </is>
      </c>
      <c r="B27" s="44" t="inlineStr">
        <is>
          <t>Package</t>
        </is>
      </c>
      <c r="C27" s="44" t="n">
        <v>1</v>
      </c>
      <c r="D27" s="45" t="n">
        <v>12000</v>
      </c>
      <c r="E27" s="46">
        <f>C27*D27</f>
        <v/>
      </c>
      <c r="F27" s="47" t="inlineStr">
        <is>
          <t>Stage, national anthem, first-kick ceremony</t>
        </is>
      </c>
    </row>
    <row r="28">
      <c r="A28" s="11" t="inlineStr">
        <is>
          <t>Football – Subtotal (Before Commission)</t>
        </is>
      </c>
      <c r="B28" s="15" t="n"/>
      <c r="C28" s="15" t="n"/>
      <c r="D28" s="15" t="n"/>
      <c r="E28" s="13">
        <f>SUM(E6:E27)</f>
        <v/>
      </c>
      <c r="F28" s="15" t="n"/>
    </row>
    <row r="29">
      <c r="A29" s="11" t="inlineStr">
        <is>
          <t>Agency Commission (15%)</t>
        </is>
      </c>
      <c r="B29" s="15" t="n"/>
      <c r="C29" s="15" t="n"/>
      <c r="D29" s="15" t="n"/>
      <c r="E29" s="13">
        <f>E28*0.15</f>
        <v/>
      </c>
      <c r="F29" s="15" t="n"/>
    </row>
    <row r="30">
      <c r="A30" s="29" t="inlineStr">
        <is>
          <t>▶ FOOTBALL TOURNAMENT – TOTAL</t>
        </is>
      </c>
      <c r="B30" s="29" t="n"/>
      <c r="C30" s="29" t="n"/>
      <c r="D30" s="29" t="n"/>
      <c r="E30" s="30">
        <f>E28+E29</f>
        <v/>
      </c>
      <c r="F30" s="29" t="n"/>
    </row>
    <row r="33">
      <c r="A33" s="21" t="inlineStr">
        <is>
          <t>PADEL TOURNAMENT | 10 Teams (Doubles) = 20 Players | Men Only | 1-2 Weekends</t>
        </is>
      </c>
    </row>
    <row r="34">
      <c r="A34" s="3" t="inlineStr">
        <is>
          <t>Cost Item</t>
        </is>
      </c>
      <c r="B34" s="3" t="inlineStr">
        <is>
          <t>Unit</t>
        </is>
      </c>
      <c r="C34" s="3" t="inlineStr">
        <is>
          <t>Qty</t>
        </is>
      </c>
      <c r="D34" s="3" t="inlineStr">
        <is>
          <t>Unit Price (SAR)</t>
        </is>
      </c>
      <c r="E34" s="3" t="inlineStr">
        <is>
          <t>Total (SAR)</t>
        </is>
      </c>
      <c r="F34" s="3" t="inlineStr">
        <is>
          <t>Notes</t>
        </is>
      </c>
    </row>
    <row r="35">
      <c r="A35" s="12" t="inlineStr">
        <is>
          <t>Padel Court Rental</t>
        </is>
      </c>
      <c r="B35" s="12" t="inlineStr">
        <is>
          <t>Per 90-min slot</t>
        </is>
      </c>
      <c r="C35" s="12" t="n">
        <v>25</v>
      </c>
      <c r="D35" s="43" t="n">
        <v>480</v>
      </c>
      <c r="E35" s="18">
        <f>C35*D35</f>
        <v/>
      </c>
      <c r="F35" s="48" t="inlineStr">
        <is>
          <t>25 matches, [NOTE] Group booking discount may apply</t>
        </is>
      </c>
    </row>
    <row r="36">
      <c r="A36" s="44" t="inlineStr">
        <is>
          <t>Tournament Padel Balls</t>
        </is>
      </c>
      <c r="B36" s="44" t="inlineStr">
        <is>
          <t>Dozen</t>
        </is>
      </c>
      <c r="C36" s="44" t="n">
        <v>6</v>
      </c>
      <c r="D36" s="45" t="n">
        <v>200</v>
      </c>
      <c r="E36" s="46">
        <f>C36*D36</f>
        <v/>
      </c>
      <c r="F36" s="47" t="inlineStr">
        <is>
          <t>Fresh balls per round</t>
        </is>
      </c>
    </row>
    <row r="37">
      <c r="A37" s="12" t="inlineStr">
        <is>
          <t>Branded Player Towels</t>
        </is>
      </c>
      <c r="B37" s="12" t="inlineStr">
        <is>
          <t>Per player</t>
        </is>
      </c>
      <c r="C37" s="12" t="n">
        <v>20</v>
      </c>
      <c r="D37" s="43" t="n">
        <v>50</v>
      </c>
      <c r="E37" s="18">
        <f>C37*D37</f>
        <v/>
      </c>
      <c r="F37" s="28" t="inlineStr">
        <is>
          <t>Tournament souvenir</t>
        </is>
      </c>
    </row>
    <row r="38">
      <c r="A38" s="44" t="inlineStr">
        <is>
          <t>Branded Water Bottles (Reusable)</t>
        </is>
      </c>
      <c r="B38" s="44" t="inlineStr">
        <is>
          <t>Per player</t>
        </is>
      </c>
      <c r="C38" s="44" t="n">
        <v>20</v>
      </c>
      <c r="D38" s="45" t="n">
        <v>40</v>
      </c>
      <c r="E38" s="46">
        <f>C38*D38</f>
        <v/>
      </c>
      <c r="F38" s="47" t="inlineStr">
        <is>
          <t>Branded reusable</t>
        </is>
      </c>
    </row>
    <row r="39">
      <c r="A39" s="12" t="inlineStr">
        <is>
          <t>Referees / Court Coordinators</t>
        </is>
      </c>
      <c r="B39" s="12" t="inlineStr">
        <is>
          <t>Per day</t>
        </is>
      </c>
      <c r="C39" s="12" t="n">
        <v>4</v>
      </c>
      <c r="D39" s="43" t="n">
        <v>700</v>
      </c>
      <c r="E39" s="18">
        <f>C39*D39</f>
        <v/>
      </c>
      <c r="F39" s="48" t="inlineStr">
        <is>
          <t>[NOTE] Riyadh-based – no travel</t>
        </is>
      </c>
    </row>
    <row r="40">
      <c r="A40" s="44" t="inlineStr">
        <is>
          <t>Tournament Coordinator</t>
        </is>
      </c>
      <c r="B40" s="44" t="inlineStr">
        <is>
          <t>Package</t>
        </is>
      </c>
      <c r="C40" s="44" t="n">
        <v>1</v>
      </c>
      <c r="D40" s="45" t="n">
        <v>5000</v>
      </c>
      <c r="E40" s="46">
        <f>C40*D40</f>
        <v/>
      </c>
      <c r="F40" s="47" t="inlineStr">
        <is>
          <t>Bracket management + logistics</t>
        </is>
      </c>
    </row>
    <row r="41">
      <c r="A41" s="12" t="inlineStr">
        <is>
          <t>Champion Trophy (Team)</t>
        </is>
      </c>
      <c r="B41" s="12" t="inlineStr">
        <is>
          <t>Trophy</t>
        </is>
      </c>
      <c r="C41" s="12" t="n">
        <v>1</v>
      </c>
      <c r="D41" s="43" t="n">
        <v>3000</v>
      </c>
      <c r="E41" s="18">
        <f>C41*D41</f>
        <v/>
      </c>
      <c r="F41" s="28" t="inlineStr"/>
    </row>
    <row r="42">
      <c r="A42" s="44" t="inlineStr">
        <is>
          <t>Runner-Up Trophy</t>
        </is>
      </c>
      <c r="B42" s="44" t="inlineStr">
        <is>
          <t>Trophy</t>
        </is>
      </c>
      <c r="C42" s="44" t="n">
        <v>1</v>
      </c>
      <c r="D42" s="45" t="n">
        <v>2000</v>
      </c>
      <c r="E42" s="46">
        <f>C42*D42</f>
        <v/>
      </c>
      <c r="F42" s="47" t="inlineStr"/>
    </row>
    <row r="43">
      <c r="A43" s="12" t="inlineStr">
        <is>
          <t>MVP Award</t>
        </is>
      </c>
      <c r="B43" s="12" t="inlineStr">
        <is>
          <t>Award</t>
        </is>
      </c>
      <c r="C43" s="12" t="n">
        <v>1</v>
      </c>
      <c r="D43" s="43" t="n">
        <v>500</v>
      </c>
      <c r="E43" s="18">
        <f>C43*D43</f>
        <v/>
      </c>
      <c r="F43" s="28" t="inlineStr"/>
    </row>
    <row r="44">
      <c r="A44" s="44" t="inlineStr">
        <is>
          <t>Best Match Award</t>
        </is>
      </c>
      <c r="B44" s="44" t="inlineStr">
        <is>
          <t>Award</t>
        </is>
      </c>
      <c r="C44" s="44" t="n">
        <v>1</v>
      </c>
      <c r="D44" s="45" t="n">
        <v>500</v>
      </c>
      <c r="E44" s="46">
        <f>C44*D44</f>
        <v/>
      </c>
      <c r="F44" s="47" t="inlineStr"/>
    </row>
    <row r="45">
      <c r="A45" s="12" t="inlineStr">
        <is>
          <t>Fair Play Award</t>
        </is>
      </c>
      <c r="B45" s="12" t="inlineStr">
        <is>
          <t>Award</t>
        </is>
      </c>
      <c r="C45" s="12" t="n">
        <v>1</v>
      </c>
      <c r="D45" s="43" t="n">
        <v>500</v>
      </c>
      <c r="E45" s="18">
        <f>C45*D45</f>
        <v/>
      </c>
      <c r="F45" s="28" t="inlineStr"/>
    </row>
    <row r="46">
      <c r="A46" s="44" t="inlineStr">
        <is>
          <t>Medals (Top 2 teams)</t>
        </is>
      </c>
      <c r="B46" s="44" t="inlineStr">
        <is>
          <t>Per medal</t>
        </is>
      </c>
      <c r="C46" s="44" t="n">
        <v>4</v>
      </c>
      <c r="D46" s="45" t="n">
        <v>60</v>
      </c>
      <c r="E46" s="46">
        <f>C46*D46</f>
        <v/>
      </c>
      <c r="F46" s="47" t="inlineStr">
        <is>
          <t>2 players x 2 teams</t>
        </is>
      </c>
    </row>
    <row r="47">
      <c r="A47" s="12" t="inlineStr">
        <is>
          <t>Player Refreshments</t>
        </is>
      </c>
      <c r="B47" s="12" t="inlineStr">
        <is>
          <t>Per day</t>
        </is>
      </c>
      <c r="C47" s="12" t="n">
        <v>4</v>
      </c>
      <c r="D47" s="43" t="n">
        <v>1000</v>
      </c>
      <c r="E47" s="18">
        <f>C47*D47</f>
        <v/>
      </c>
      <c r="F47" s="28" t="inlineStr">
        <is>
          <t>Water, isotonic, fruits</t>
        </is>
      </c>
    </row>
    <row r="48">
      <c r="A48" s="44" t="inlineStr">
        <is>
          <t>Light Snacks &amp; Post-Match Food</t>
        </is>
      </c>
      <c r="B48" s="44" t="inlineStr">
        <is>
          <t>Per day</t>
        </is>
      </c>
      <c r="C48" s="44" t="n">
        <v>4</v>
      </c>
      <c r="D48" s="45" t="n">
        <v>700</v>
      </c>
      <c r="E48" s="46">
        <f>C48*D48</f>
        <v/>
      </c>
      <c r="F48" s="47" t="inlineStr">
        <is>
          <t>Post-match refreshments</t>
        </is>
      </c>
    </row>
    <row r="49">
      <c r="A49" s="12" t="inlineStr">
        <is>
          <t>Sports Photographer</t>
        </is>
      </c>
      <c r="B49" s="12" t="inlineStr">
        <is>
          <t>Per day</t>
        </is>
      </c>
      <c r="C49" s="12" t="n">
        <v>4</v>
      </c>
      <c r="D49" s="43" t="n">
        <v>1500</v>
      </c>
      <c r="E49" s="18">
        <f>C49*D49</f>
        <v/>
      </c>
      <c r="F49" s="28" t="inlineStr">
        <is>
          <t>Tournament coverage</t>
        </is>
      </c>
    </row>
    <row r="50">
      <c r="A50" s="44" t="inlineStr">
        <is>
          <t>Social Media Coverage</t>
        </is>
      </c>
      <c r="B50" s="44" t="inlineStr">
        <is>
          <t>Package</t>
        </is>
      </c>
      <c r="C50" s="44" t="n">
        <v>1</v>
      </c>
      <c r="D50" s="45" t="n">
        <v>2000</v>
      </c>
      <c r="E50" s="46">
        <f>C50*D50</f>
        <v/>
      </c>
      <c r="F50" s="47" t="inlineStr">
        <is>
          <t>Live updates</t>
        </is>
      </c>
    </row>
    <row r="51">
      <c r="A51" s="12" t="inlineStr">
        <is>
          <t>Awards Ceremony (Combined with Football)</t>
        </is>
      </c>
      <c r="B51" s="12" t="inlineStr">
        <is>
          <t>Package</t>
        </is>
      </c>
      <c r="C51" s="12" t="n">
        <v>1</v>
      </c>
      <c r="D51" s="43" t="n">
        <v>15000</v>
      </c>
      <c r="E51" s="18">
        <f>C51*D51</f>
        <v/>
      </c>
      <c r="F51" s="28" t="inlineStr">
        <is>
          <t>Venue, dinner, trophy presentation – combined</t>
        </is>
      </c>
    </row>
    <row r="52">
      <c r="A52" s="11" t="inlineStr">
        <is>
          <t>Padel – Subtotal (Before Commission)</t>
        </is>
      </c>
      <c r="B52" s="15" t="n"/>
      <c r="C52" s="15" t="n"/>
      <c r="D52" s="15" t="n"/>
      <c r="E52" s="13">
        <f>SUM(E35:E51)</f>
        <v/>
      </c>
      <c r="F52" s="15" t="n"/>
    </row>
    <row r="53">
      <c r="A53" s="11" t="inlineStr">
        <is>
          <t>Agency Commission (15%)</t>
        </is>
      </c>
      <c r="B53" s="15" t="n"/>
      <c r="C53" s="15" t="n"/>
      <c r="D53" s="15" t="n"/>
      <c r="E53" s="13">
        <f>E52*0.15</f>
        <v/>
      </c>
      <c r="F53" s="15" t="n"/>
    </row>
    <row r="54">
      <c r="A54" s="29" t="inlineStr">
        <is>
          <t>▶ PADEL TOURNAMENT – TOTAL</t>
        </is>
      </c>
      <c r="B54" s="29" t="n"/>
      <c r="C54" s="29" t="n"/>
      <c r="D54" s="29" t="n"/>
      <c r="E54" s="30">
        <f>E52+E53</f>
        <v/>
      </c>
      <c r="F54" s="29" t="n"/>
    </row>
  </sheetData>
  <mergeCells count="3">
    <mergeCell ref="A33:F33"/>
    <mergeCell ref="A1:F1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5D5B2"/>
    <outlinePr summaryBelow="1" summaryRight="1"/>
    <pageSetUpPr/>
  </sheetPr>
  <dimension ref="A1:D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45" customWidth="1" min="3" max="3"/>
    <col width="40" customWidth="1" min="4" max="4"/>
  </cols>
  <sheetData>
    <row r="1">
      <c r="A1" s="1" t="inlineStr">
        <is>
          <t>SERA 2026 — ASSUMPTIONS, NOTES &amp; PAYMENT TERMS</t>
        </is>
      </c>
    </row>
    <row r="3">
      <c r="A3" s="10" t="inlineStr">
        <is>
          <t>KEY ASSUMPTIONS</t>
        </is>
      </c>
    </row>
    <row r="4">
      <c r="A4" s="3" t="inlineStr">
        <is>
          <t>#</t>
        </is>
      </c>
      <c r="B4" s="3" t="inlineStr">
        <is>
          <t>Assumption</t>
        </is>
      </c>
      <c r="C4" s="3" t="inlineStr">
        <is>
          <t>Impact if Different</t>
        </is>
      </c>
      <c r="D4" s="3" t="inlineStr">
        <is>
          <t>Action Required</t>
        </is>
      </c>
    </row>
    <row r="5">
      <c r="A5" s="4" t="n">
        <v>1</v>
      </c>
      <c r="B5" s="4" t="inlineStr">
        <is>
          <t>All events in Riyadh only – no travel costs</t>
        </is>
      </c>
      <c r="C5" s="4" t="inlineStr">
        <is>
          <t>Other cities add 15-25% for travel, accommodation, logistics</t>
        </is>
      </c>
      <c r="D5" s="4" t="inlineStr">
        <is>
          <t>Confirm all events are Riyadh-based</t>
        </is>
      </c>
    </row>
    <row r="6">
      <c r="A6" s="7" t="n">
        <v>2</v>
      </c>
      <c r="B6" s="7" t="inlineStr">
        <is>
          <t>Reception events: 250-300 attendees</t>
        </is>
      </c>
      <c r="C6" s="7" t="inlineStr">
        <is>
          <t>Catering, venue, gifts scale linearly</t>
        </is>
      </c>
      <c r="D6" s="7" t="inlineStr">
        <is>
          <t>SERA to confirm headcount 2 weeks before</t>
        </is>
      </c>
    </row>
    <row r="7">
      <c r="A7" s="4" t="n">
        <v>3</v>
      </c>
      <c r="B7" s="4" t="inlineStr">
        <is>
          <t>Sports: 10 teams per sport, men only</t>
        </is>
      </c>
      <c r="C7" s="4" t="inlineStr">
        <is>
          <t>More teams = longer tournament + more jerseys/venue</t>
        </is>
      </c>
      <c r="D7" s="4" t="inlineStr">
        <is>
          <t>Registration cap at 10 teams</t>
        </is>
      </c>
    </row>
    <row r="8">
      <c r="A8" s="7" t="n">
        <v>4</v>
      </c>
      <c r="B8" s="7" t="inlineStr">
        <is>
          <t>All referees Riyadh-based – no travel</t>
        </is>
      </c>
      <c r="C8" s="7" t="inlineStr">
        <is>
          <t>Out-of-city refs add SAR 2K-5K travel each</t>
        </is>
      </c>
      <c r="D8" s="7" t="inlineStr">
        <is>
          <t>Use local Saudi FA/Padel Federation certified</t>
        </is>
      </c>
    </row>
    <row r="9">
      <c r="A9" s="4" t="n">
        <v>5</v>
      </c>
      <c r="B9" s="4" t="inlineStr">
        <is>
          <t>SERA HQ available at no cost for internal events</t>
        </is>
      </c>
      <c r="C9" s="4" t="inlineStr">
        <is>
          <t>External venue for all = +SAR 15K-25K per awareness event</t>
        </is>
      </c>
      <c r="D9" s="4" t="inlineStr">
        <is>
          <t>SERA admin to confirm HQ availability</t>
        </is>
      </c>
    </row>
    <row r="10">
      <c r="A10" s="7" t="n">
        <v>6</v>
      </c>
      <c r="B10" s="7" t="inlineStr">
        <is>
          <t>Standard gifts (SAR 50-150 range)</t>
        </is>
      </c>
      <c r="C10" s="7" t="inlineStr">
        <is>
          <t>Premium/luxury gifts (SAR 200-500) double the line item</t>
        </is>
      </c>
      <c r="D10" s="7" t="inlineStr">
        <is>
          <t>Confirm gift tier per event category</t>
        </is>
      </c>
    </row>
    <row r="11">
      <c r="A11" s="4" t="n">
        <v>7</v>
      </c>
      <c r="B11" s="4" t="inlineStr">
        <is>
          <t>SERA does not own professional AV equipment</t>
        </is>
      </c>
      <c r="C11" s="4" t="inlineStr">
        <is>
          <t>Own AV = reduce SAR 8K-20K per event</t>
        </is>
      </c>
      <c r="D11" s="4" t="inlineStr">
        <is>
          <t>Audit SERA's existing AV inventory</t>
        </is>
      </c>
    </row>
    <row r="12">
      <c r="A12" s="7" t="n">
        <v>8</v>
      </c>
      <c r="B12" s="7" t="inlineStr">
        <is>
          <t>Standard professional entertainment</t>
        </is>
      </c>
      <c r="C12" s="7" t="inlineStr">
        <is>
          <t>Celebrity = SAR 50K-500K+ additional per appearance</t>
        </is>
      </c>
      <c r="D12" s="7" t="inlineStr">
        <is>
          <t>Confirm entertainment tier per major event</t>
        </is>
      </c>
    </row>
    <row r="13">
      <c r="A13" s="4" t="n">
        <v>9</v>
      </c>
      <c r="B13" s="4" t="inlineStr">
        <is>
          <t>Ramadan 2026 dates per expected Hijri calendar</t>
        </is>
      </c>
      <c r="C13" s="4" t="inlineStr">
        <is>
          <t>Shifting dates affect Q1/Q2 scheduling</t>
        </is>
      </c>
      <c r="D13" s="4" t="inlineStr">
        <is>
          <t>Confirm when official dates announced</t>
        </is>
      </c>
    </row>
    <row r="14">
      <c r="A14" s="7" t="n">
        <v>10</v>
      </c>
      <c r="B14" s="7" t="inlineStr">
        <is>
          <t>2026 prices with 5-10% inflation from 2025</t>
        </is>
      </c>
      <c r="C14" s="7" t="inlineStr">
        <is>
          <t>If contracts delayed, additional adjustment needed</t>
        </is>
      </c>
      <c r="D14" s="7" t="inlineStr">
        <is>
          <t>Include price escalation clause</t>
        </is>
      </c>
    </row>
    <row r="15">
      <c r="A15" s="4" t="n">
        <v>11</v>
      </c>
      <c r="B15" s="4" t="inlineStr">
        <is>
          <t>Agency commission: 15% on all events</t>
        </is>
      </c>
      <c r="C15" s="4" t="inlineStr">
        <is>
          <t>Industry range is 10-20% depending on scope</t>
        </is>
      </c>
      <c r="D15" s="4" t="inlineStr">
        <is>
          <t>Standard for full-service event management</t>
        </is>
      </c>
    </row>
    <row r="16">
      <c r="A16" s="7" t="n">
        <v>12</v>
      </c>
      <c r="B16" s="7" t="inlineStr">
        <is>
          <t>VAT at 15% (ZATCA standard)</t>
        </is>
      </c>
      <c r="C16" s="7" t="inlineStr">
        <is>
          <t>Rate changes affect total</t>
        </is>
      </c>
      <c r="D16" s="7" t="inlineStr">
        <is>
          <t>Applied to all taxable services</t>
        </is>
      </c>
    </row>
    <row r="17">
      <c r="A17" s="4" t="n">
        <v>13</v>
      </c>
      <c r="B17" s="4" t="inlineStr">
        <is>
          <t>Women's Day requires female photographer &amp; ladies venue</t>
        </is>
      </c>
      <c r="C17" s="4" t="inlineStr">
        <is>
          <t>Mixed-gender reduces venue restrictions</t>
        </is>
      </c>
      <c r="D17" s="4" t="inlineStr">
        <is>
          <t>Standard for Saudi government entities</t>
        </is>
      </c>
    </row>
    <row r="18">
      <c r="A18" s="7" t="n">
        <v>14</v>
      </c>
      <c r="B18" s="7" t="inlineStr">
        <is>
          <t>Family events (Summer/Children's Day) include ~200 family members</t>
        </is>
      </c>
      <c r="C18" s="7" t="inlineStr">
        <is>
          <t>Employees-only reduces budget by ~40%</t>
        </is>
      </c>
      <c r="D18" s="7" t="inlineStr">
        <is>
          <t>Confirm family invitation policy</t>
        </is>
      </c>
    </row>
    <row r="19">
      <c r="A19" s="4" t="n">
        <v>15</v>
      </c>
      <c r="B19" s="4" t="inlineStr">
        <is>
          <t>National Day = major-tier event with premium budget</t>
        </is>
      </c>
      <c r="C19" s="4" t="inlineStr">
        <is>
          <t>Standard tier saves SAR 100K+</t>
        </is>
      </c>
      <c r="D19" s="4" t="inlineStr">
        <is>
          <t>Typically highest-profile for government</t>
        </is>
      </c>
    </row>
    <row r="20">
      <c r="A20" s="7" t="n">
        <v>16</v>
      </c>
      <c r="B20" s="7" t="inlineStr">
        <is>
          <t>Children's Corner at Eid = optional (families may not be invited)</t>
        </is>
      </c>
      <c r="C20" s="7" t="inlineStr">
        <is>
          <t>If families attend, add SAR 12K per Eid event</t>
        </is>
      </c>
      <c r="D20" s="7" t="inlineStr">
        <is>
          <t>SERA to confirm family invitation policy</t>
        </is>
      </c>
    </row>
    <row r="23">
      <c r="A23" s="10" t="inlineStr">
        <is>
          <t>PAYMENT TERMS (KSA Market Standard)</t>
        </is>
      </c>
    </row>
    <row r="24">
      <c r="A24" s="3" t="inlineStr">
        <is>
          <t>#</t>
        </is>
      </c>
      <c r="B24" s="3" t="inlineStr">
        <is>
          <t>Term</t>
        </is>
      </c>
      <c r="C24" s="3" t="inlineStr">
        <is>
          <t>Condition</t>
        </is>
      </c>
      <c r="D24" s="3" t="inlineStr">
        <is>
          <t>Details</t>
        </is>
      </c>
    </row>
    <row r="25">
      <c r="A25" s="4" t="n">
        <v>1</v>
      </c>
      <c r="B25" s="50" t="inlineStr">
        <is>
          <t>Advance Payment</t>
        </is>
      </c>
      <c r="C25" s="4" t="inlineStr">
        <is>
          <t>30% upon contract signing</t>
        </is>
      </c>
      <c r="D25" s="4" t="inlineStr">
        <is>
          <t>Secures venue bookings and vendor commitments</t>
        </is>
      </c>
    </row>
    <row r="26">
      <c r="A26" s="4" t="n">
        <v>2</v>
      </c>
      <c r="B26" s="50" t="inlineStr">
        <is>
          <t>Progress Payment</t>
        </is>
      </c>
      <c r="C26" s="4" t="inlineStr">
        <is>
          <t>40% two weeks before each event</t>
        </is>
      </c>
      <c r="D26" s="4" t="inlineStr">
        <is>
          <t>Triggers final vendor confirmations and material production</t>
        </is>
      </c>
    </row>
    <row r="27">
      <c r="A27" s="4" t="n">
        <v>3</v>
      </c>
      <c r="B27" s="50" t="inlineStr">
        <is>
          <t>Final Payment</t>
        </is>
      </c>
      <c r="C27" s="4" t="inlineStr">
        <is>
          <t>30% within 14 business days post-event</t>
        </is>
      </c>
      <c r="D27" s="4" t="inlineStr">
        <is>
          <t>Upon delivery of photos, videos, and evaluation report</t>
        </is>
      </c>
    </row>
    <row r="28">
      <c r="A28" s="4" t="n">
        <v>4</v>
      </c>
      <c r="B28" s="50" t="inlineStr">
        <is>
          <t>Cancellation 30+ days</t>
        </is>
      </c>
      <c r="C28" s="4" t="inlineStr">
        <is>
          <t>100% refund of advance</t>
        </is>
      </c>
      <c r="D28" s="4" t="inlineStr">
        <is>
          <t>Full refund minus non-recoverable vendor deposits</t>
        </is>
      </c>
    </row>
    <row r="29">
      <c r="A29" s="4" t="n">
        <v>5</v>
      </c>
      <c r="B29" s="50" t="inlineStr">
        <is>
          <t>Cancellation 15-30 days</t>
        </is>
      </c>
      <c r="C29" s="4" t="inlineStr">
        <is>
          <t>50% refund</t>
        </is>
      </c>
      <c r="D29" s="4" t="inlineStr">
        <is>
          <t>Venue and vendor cancellation fees apply</t>
        </is>
      </c>
    </row>
    <row r="30">
      <c r="A30" s="4" t="n">
        <v>6</v>
      </c>
      <c r="B30" s="50" t="inlineStr">
        <is>
          <t>Cancellation &lt;15 days</t>
        </is>
      </c>
      <c r="C30" s="4" t="inlineStr">
        <is>
          <t>No refund</t>
        </is>
      </c>
      <c r="D30" s="4" t="inlineStr">
        <is>
          <t>Full charges apply – vendors already committed</t>
        </is>
      </c>
    </row>
    <row r="31">
      <c r="A31" s="4" t="n">
        <v>7</v>
      </c>
      <c r="B31" s="50" t="inlineStr">
        <is>
          <t>Event Postponement</t>
        </is>
      </c>
      <c r="C31" s="4" t="inlineStr">
        <is>
          <t>Rescheduling at no extra charge</t>
        </is>
      </c>
      <c r="D31" s="4" t="inlineStr">
        <is>
          <t>Subject to venue/vendor availability within 60 days</t>
        </is>
      </c>
    </row>
    <row r="32">
      <c r="A32" s="4" t="n">
        <v>8</v>
      </c>
      <c r="B32" s="50" t="inlineStr">
        <is>
          <t>Price Validity</t>
        </is>
      </c>
      <c r="C32" s="4" t="inlineStr">
        <is>
          <t>90 days from proposal date</t>
        </is>
      </c>
      <c r="D32" s="4" t="inlineStr">
        <is>
          <t>Subject to vendor rate confirmations</t>
        </is>
      </c>
    </row>
    <row r="33">
      <c r="A33" s="4" t="n">
        <v>9</v>
      </c>
      <c r="B33" s="50" t="inlineStr">
        <is>
          <t>Annual Contract Discount</t>
        </is>
      </c>
      <c r="C33" s="4" t="inlineStr">
        <is>
          <t>5-8% for full annual commitment</t>
        </is>
      </c>
      <c r="D33" s="4" t="inlineStr">
        <is>
          <t>Negotiable based on payment terms</t>
        </is>
      </c>
    </row>
    <row r="36">
      <c r="A36" s="10" t="inlineStr">
        <is>
          <t>COST OPTIMIZATION OPPORTUNITIES</t>
        </is>
      </c>
    </row>
    <row r="37">
      <c r="A37" s="3" t="inlineStr">
        <is>
          <t>#</t>
        </is>
      </c>
      <c r="B37" s="3" t="inlineStr">
        <is>
          <t>Opportunity</t>
        </is>
      </c>
      <c r="C37" s="3" t="inlineStr">
        <is>
          <t>Potential Savings (SAR)</t>
        </is>
      </c>
      <c r="D37" s="3" t="inlineStr">
        <is>
          <t>Recommendation</t>
        </is>
      </c>
    </row>
    <row r="38">
      <c r="A38" s="4" t="n">
        <v>1</v>
      </c>
      <c r="B38" s="4" t="inlineStr">
        <is>
          <t>Annual vendor contracts (preferred rates)</t>
        </is>
      </c>
      <c r="C38" s="50" t="inlineStr">
        <is>
          <t>200,000 – 350,000</t>
        </is>
      </c>
      <c r="D38" s="4" t="inlineStr">
        <is>
          <t>STRONGLY RECOMMENDED – negotiate 10-15% volume discounts</t>
        </is>
      </c>
    </row>
    <row r="39">
      <c r="A39" s="7" t="n">
        <v>2</v>
      </c>
      <c r="B39" s="7" t="inlineStr">
        <is>
          <t>Maximize SERA HQ for awareness events</t>
        </is>
      </c>
      <c r="C39" s="51" t="inlineStr">
        <is>
          <t>120,000 – 180,000</t>
        </is>
      </c>
      <c r="D39" s="7" t="inlineStr">
        <is>
          <t>RECOMMENDED – save venue budget for major galas</t>
        </is>
      </c>
    </row>
    <row r="40">
      <c r="A40" s="4" t="n">
        <v>3</v>
      </c>
      <c r="B40" s="4" t="inlineStr">
        <is>
          <t>Bundled AV equipment annual rental</t>
        </is>
      </c>
      <c r="C40" s="50" t="inlineStr">
        <is>
          <t>50,000 – 80,000</t>
        </is>
      </c>
      <c r="D40" s="4" t="inlineStr">
        <is>
          <t>RECOMMENDED – consistency + lower rates</t>
        </is>
      </c>
    </row>
    <row r="41">
      <c r="A41" s="7" t="n">
        <v>4</v>
      </c>
      <c r="B41" s="7" t="inlineStr">
        <is>
          <t>Bundled photography/videography contract</t>
        </is>
      </c>
      <c r="C41" s="51" t="inlineStr">
        <is>
          <t>40,000 – 65,000</t>
        </is>
      </c>
      <c r="D41" s="7" t="inlineStr">
        <is>
          <t>RECOMMENDED – familiar with SERA brand</t>
        </is>
      </c>
    </row>
    <row r="42">
      <c r="A42" s="4" t="n">
        <v>5</v>
      </c>
      <c r="B42" s="4" t="inlineStr">
        <is>
          <t>Reduce gift tier for awareness days</t>
        </is>
      </c>
      <c r="C42" s="50" t="inlineStr">
        <is>
          <t>40,000 – 60,000</t>
        </is>
      </c>
      <c r="D42" s="4" t="inlineStr">
        <is>
          <t>RECOMMENDED – reserve premium for celebrations</t>
        </is>
      </c>
    </row>
    <row r="43">
      <c r="A43" s="7" t="n">
        <v>6</v>
      </c>
      <c r="B43" s="7" t="inlineStr">
        <is>
          <t>Off-peak weekday timing for awareness events</t>
        </is>
      </c>
      <c r="C43" s="51" t="inlineStr">
        <is>
          <t>60,000 – 100,000</t>
        </is>
      </c>
      <c r="D43" s="7" t="inlineStr">
        <is>
          <t>CONSIDER – may reduce attendance</t>
        </is>
      </c>
    </row>
    <row r="44">
      <c r="A44" s="4" t="n">
        <v>7</v>
      </c>
      <c r="B44" s="4" t="inlineStr">
        <is>
          <t>Standard entertainment for mid-tier events</t>
        </is>
      </c>
      <c r="C44" s="50" t="inlineStr">
        <is>
          <t>80,000 – 130,000</t>
        </is>
      </c>
      <c r="D44" s="4" t="inlineStr">
        <is>
          <t>SELECTIVELY APPLY – keep premium for Eid, National Day, Year-End</t>
        </is>
      </c>
    </row>
  </sheetData>
  <mergeCells count="4">
    <mergeCell ref="A1:D1"/>
    <mergeCell ref="A23:D23"/>
    <mergeCell ref="A36:D36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2026-01-27T06:49:03Z</dcterms:created>
  <dcterms:modified xsi:type="dcterms:W3CDTF">2026-01-27T06:49:03Z</dcterms:modified>
</cp:coreProperties>
</file>