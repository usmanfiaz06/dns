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Calendar" sheetId="1" state="visible" r:id="rId1"/>
    <sheet name="Technical Proposal" sheetId="2" state="visible" r:id="rId2"/>
    <sheet name="Financial Proposal" sheetId="3" state="visible" r:id="rId3"/>
    <sheet name="Sports Budget" sheetId="4" state="visible" r:id="rId4"/>
    <sheet name="Assumption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B4332"/>
      <sz val="10"/>
    </font>
    <font>
      <name val="Arial"/>
      <b val="1"/>
      <color rgb="001B4332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666666"/>
      <sz val="9"/>
    </font>
    <font>
      <name val="Arial"/>
      <i val="1"/>
      <color rgb="00C0392B"/>
      <sz val="9"/>
    </font>
    <font>
      <name val="Arial"/>
      <b val="1"/>
      <color rgb="00FFFFFF"/>
      <sz val="13"/>
    </font>
    <font>
      <name val="Arial"/>
      <i val="1"/>
      <color rgb="002E86C1"/>
      <sz val="10"/>
    </font>
    <font>
      <name val="Arial"/>
      <b val="1"/>
      <color rgb="001B4332"/>
      <sz val="12"/>
    </font>
  </fonts>
  <fills count="13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B7E4C7"/>
        <bgColor rgb="00B7E4C7"/>
      </patternFill>
    </fill>
    <fill>
      <patternFill patternType="solid">
        <fgColor rgb="002D6A4F"/>
        <bgColor rgb="002D6A4F"/>
      </patternFill>
    </fill>
    <fill>
      <patternFill patternType="solid">
        <fgColor rgb="00F0F7F4"/>
        <bgColor rgb="00F0F7F4"/>
      </patternFill>
    </fill>
    <fill>
      <patternFill patternType="solid">
        <fgColor rgb="0040916C"/>
        <bgColor rgb="0040916C"/>
      </patternFill>
    </fill>
    <fill>
      <patternFill patternType="solid">
        <fgColor rgb="0052B788"/>
        <bgColor rgb="0052B788"/>
      </patternFill>
    </fill>
    <fill>
      <patternFill patternType="solid">
        <fgColor rgb="00081C15"/>
        <bgColor rgb="00081C15"/>
      </patternFill>
    </fill>
    <fill>
      <patternFill patternType="solid"/>
    </fill>
    <fill>
      <patternFill patternType="solid">
        <fgColor rgb="00FFF3CD"/>
        <bgColor rgb="00FFF3CD"/>
      </patternFill>
    </fill>
    <fill>
      <patternFill patternType="solid">
        <fgColor rgb="00FFD700"/>
        <bgColor rgb="00FFD70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6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9" fontId="0" fillId="0" borderId="1" pivotButton="0" quotePrefix="0" xfId="0"/>
    <xf numFmtId="0" fontId="0" fillId="0" borderId="1" pivotButton="0" quotePrefix="0" xfId="0"/>
    <xf numFmtId="0" fontId="4" fillId="6" borderId="1" pivotButton="0" quotePrefix="0" xfId="0"/>
    <xf numFmtId="3" fontId="4" fillId="6" borderId="1" pivotButton="0" quotePrefix="0" xfId="0"/>
    <xf numFmtId="3" fontId="0" fillId="0" borderId="1" pivotButton="0" quotePrefix="0" xfId="0"/>
    <xf numFmtId="0" fontId="9" fillId="8" borderId="1" pivotButton="0" quotePrefix="0" xfId="0"/>
    <xf numFmtId="3" fontId="9" fillId="8" borderId="1" pivotButton="0" quotePrefix="0" xfId="0"/>
    <xf numFmtId="0" fontId="3" fillId="3" borderId="0" pivotButton="0" quotePrefix="0" xfId="0"/>
    <xf numFmtId="3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7" borderId="1" pivotButton="0" quotePrefix="0" xfId="0"/>
    <xf numFmtId="3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4" fillId="9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center" vertical="center" wrapText="1"/>
    </xf>
    <xf numFmtId="0" fontId="6" fillId="10" borderId="1" pivotButton="0" quotePrefix="0" xfId="0"/>
    <xf numFmtId="0" fontId="0" fillId="10" borderId="1" pivotButton="0" quotePrefix="0" xfId="0"/>
    <xf numFmtId="3" fontId="6" fillId="10" borderId="1" pivotButton="0" quotePrefix="0" xfId="0"/>
    <xf numFmtId="3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3" fontId="0" fillId="5" borderId="1" pivotButton="0" quotePrefix="0" xfId="0"/>
    <xf numFmtId="0" fontId="7" fillId="5" borderId="1" pivotButton="0" quotePrefix="0" xfId="0"/>
    <xf numFmtId="0" fontId="8" fillId="0" borderId="1" pivotButton="0" quotePrefix="0" xfId="0"/>
    <xf numFmtId="0" fontId="8" fillId="5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0916C"/>
    <outlinePr summaryBelow="1" summaryRight="1"/>
    <pageSetUpPr/>
  </sheetPr>
  <dimension ref="A1:H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35" customWidth="1" min="2" max="2"/>
    <col width="22" customWidth="1" min="3" max="3"/>
    <col width="14" customWidth="1" min="4" max="4"/>
    <col width="8" customWidth="1" min="5" max="5"/>
    <col width="22" customWidth="1" min="6" max="6"/>
    <col width="16" customWidth="1" min="7" max="7"/>
    <col width="12" customWidth="1" min="8" max="8"/>
  </cols>
  <sheetData>
    <row r="1">
      <c r="A1" s="1" t="inlineStr">
        <is>
          <t>SERA 2026 — ANNUAL EVENT CALENDAR &amp; BUDGET OVERVIEW</t>
        </is>
      </c>
    </row>
    <row r="2">
      <c r="A2" s="2" t="inlineStr">
        <is>
          <t>Saudi Electricity Regulatory Authority (هيئة تنظيم الكهرباء) | All Events in Riyadh | Agency Commission: 15%</t>
        </is>
      </c>
    </row>
    <row r="4">
      <c r="A4" s="3" t="inlineStr">
        <is>
          <t>#</t>
        </is>
      </c>
      <c r="B4" s="3" t="inlineStr">
        <is>
          <t>Event Name</t>
        </is>
      </c>
      <c r="C4" s="3" t="inlineStr">
        <is>
          <t>Arabic Name</t>
        </is>
      </c>
      <c r="D4" s="3" t="inlineStr">
        <is>
          <t>Date</t>
        </is>
      </c>
      <c r="E4" s="3" t="inlineStr">
        <is>
          <t>Qtr</t>
        </is>
      </c>
      <c r="F4" s="3" t="inlineStr">
        <is>
          <t>Category</t>
        </is>
      </c>
      <c r="G4" s="3" t="inlineStr">
        <is>
          <t>Est. Attendance</t>
        </is>
      </c>
      <c r="H4" s="3" t="inlineStr">
        <is>
          <t>Event Tier</t>
        </is>
      </c>
    </row>
    <row r="5">
      <c r="A5" s="4" t="n">
        <v>1</v>
      </c>
      <c r="B5" s="4" t="inlineStr">
        <is>
          <t>Annual Meeting 2026</t>
        </is>
      </c>
      <c r="C5" s="5" t="inlineStr">
        <is>
          <t>الاجتماع السنوي</t>
        </is>
      </c>
      <c r="D5" s="5" t="inlineStr">
        <is>
          <t>February 3</t>
        </is>
      </c>
      <c r="E5" s="5" t="inlineStr">
        <is>
          <t>Q1</t>
        </is>
      </c>
      <c r="F5" s="5" t="inlineStr">
        <is>
          <t>Corporate Conference</t>
        </is>
      </c>
      <c r="G5" s="5" t="n">
        <v>300</v>
      </c>
      <c r="H5" s="6" t="inlineStr">
        <is>
          <t>Major</t>
        </is>
      </c>
    </row>
    <row r="6">
      <c r="A6" s="7" t="n">
        <v>2</v>
      </c>
      <c r="B6" s="7" t="inlineStr">
        <is>
          <t>Founding Day</t>
        </is>
      </c>
      <c r="C6" s="8" t="inlineStr">
        <is>
          <t>يوم التأسيس</t>
        </is>
      </c>
      <c r="D6" s="8" t="inlineStr">
        <is>
          <t>February 22</t>
        </is>
      </c>
      <c r="E6" s="8" t="inlineStr">
        <is>
          <t>Q1</t>
        </is>
      </c>
      <c r="F6" s="8" t="inlineStr">
        <is>
          <t>National Celebration</t>
        </is>
      </c>
      <c r="G6" s="8" t="n">
        <v>300</v>
      </c>
      <c r="H6" s="8" t="inlineStr">
        <is>
          <t>Light</t>
        </is>
      </c>
    </row>
    <row r="7">
      <c r="A7" s="4" t="n">
        <v>3</v>
      </c>
      <c r="B7" s="4" t="inlineStr">
        <is>
          <t>Employee Appreciation Day</t>
        </is>
      </c>
      <c r="C7" s="5" t="inlineStr">
        <is>
          <t>يوم تقدير الموظف</t>
        </is>
      </c>
      <c r="D7" s="5" t="inlineStr">
        <is>
          <t>March 2</t>
        </is>
      </c>
      <c r="E7" s="5" t="inlineStr">
        <is>
          <t>Q1</t>
        </is>
      </c>
      <c r="F7" s="5" t="inlineStr">
        <is>
          <t>Recognition Gala</t>
        </is>
      </c>
      <c r="G7" s="5" t="n">
        <v>300</v>
      </c>
      <c r="H7" s="6" t="inlineStr">
        <is>
          <t>Major</t>
        </is>
      </c>
    </row>
    <row r="8">
      <c r="A8" s="7" t="n">
        <v>4</v>
      </c>
      <c r="B8" s="7" t="inlineStr">
        <is>
          <t>International Women's Day</t>
        </is>
      </c>
      <c r="C8" s="8" t="inlineStr">
        <is>
          <t>اليوم العالمي للمرأة</t>
        </is>
      </c>
      <c r="D8" s="8" t="inlineStr">
        <is>
          <t>March 8</t>
        </is>
      </c>
      <c r="E8" s="8" t="inlineStr">
        <is>
          <t>Q1</t>
        </is>
      </c>
      <c r="F8" s="8" t="inlineStr">
        <is>
          <t>Awareness/Celebration</t>
        </is>
      </c>
      <c r="G8" s="8" t="n">
        <v>150</v>
      </c>
      <c r="H8" s="9" t="inlineStr">
        <is>
          <t>Medium</t>
        </is>
      </c>
    </row>
    <row r="9">
      <c r="A9" s="4" t="n">
        <v>5</v>
      </c>
      <c r="B9" s="4" t="inlineStr">
        <is>
          <t>Saudi Flag Day</t>
        </is>
      </c>
      <c r="C9" s="5" t="inlineStr">
        <is>
          <t>يوم العلم السعودي</t>
        </is>
      </c>
      <c r="D9" s="5" t="inlineStr">
        <is>
          <t>March 11</t>
        </is>
      </c>
      <c r="E9" s="5" t="inlineStr">
        <is>
          <t>Q1</t>
        </is>
      </c>
      <c r="F9" s="5" t="inlineStr">
        <is>
          <t>Patriotic Celebration</t>
        </is>
      </c>
      <c r="G9" s="5" t="n">
        <v>300</v>
      </c>
      <c r="H9" s="5" t="inlineStr">
        <is>
          <t>Light</t>
        </is>
      </c>
    </row>
    <row r="10">
      <c r="A10" s="7" t="n">
        <v>6</v>
      </c>
      <c r="B10" s="7" t="inlineStr">
        <is>
          <t>Ramadan Iftar</t>
        </is>
      </c>
      <c r="C10" s="8" t="inlineStr">
        <is>
          <t>إفطار رمضان</t>
        </is>
      </c>
      <c r="D10" s="8" t="inlineStr">
        <is>
          <t>Mid-March</t>
        </is>
      </c>
      <c r="E10" s="8" t="inlineStr">
        <is>
          <t>Q1</t>
        </is>
      </c>
      <c r="F10" s="8" t="inlineStr">
        <is>
          <t>Corporate Iftar</t>
        </is>
      </c>
      <c r="G10" s="8" t="n">
        <v>300</v>
      </c>
      <c r="H10" s="6" t="inlineStr">
        <is>
          <t>Major</t>
        </is>
      </c>
    </row>
    <row r="11">
      <c r="A11" s="4" t="n">
        <v>7</v>
      </c>
      <c r="B11" s="4" t="inlineStr">
        <is>
          <t>Mother's Day</t>
        </is>
      </c>
      <c r="C11" s="5" t="inlineStr">
        <is>
          <t>يوم الأم</t>
        </is>
      </c>
      <c r="D11" s="5" t="inlineStr">
        <is>
          <t>March 21</t>
        </is>
      </c>
      <c r="E11" s="5" t="inlineStr">
        <is>
          <t>Q1</t>
        </is>
      </c>
      <c r="F11" s="5" t="inlineStr">
        <is>
          <t>Appreciation Event</t>
        </is>
      </c>
      <c r="G11" s="5" t="n">
        <v>130</v>
      </c>
      <c r="H11" s="9" t="inlineStr">
        <is>
          <t>Medium</t>
        </is>
      </c>
    </row>
    <row r="12">
      <c r="A12" s="7" t="n">
        <v>8</v>
      </c>
      <c r="B12" s="7" t="inlineStr">
        <is>
          <t>Saudi Green Initiative</t>
        </is>
      </c>
      <c r="C12" s="8" t="inlineStr">
        <is>
          <t>المبادرة الخضراء السعودية</t>
        </is>
      </c>
      <c r="D12" s="8" t="inlineStr">
        <is>
          <t>March 27</t>
        </is>
      </c>
      <c r="E12" s="8" t="inlineStr">
        <is>
          <t>Q1</t>
        </is>
      </c>
      <c r="F12" s="8" t="inlineStr">
        <is>
          <t>Sustainability Awareness</t>
        </is>
      </c>
      <c r="G12" s="8" t="n">
        <v>250</v>
      </c>
      <c r="H12" s="8" t="inlineStr">
        <is>
          <t>Light</t>
        </is>
      </c>
    </row>
    <row r="13">
      <c r="A13" s="4" t="n">
        <v>9</v>
      </c>
      <c r="B13" s="4" t="inlineStr">
        <is>
          <t>Ehsan Philanthropy Campaign</t>
        </is>
      </c>
      <c r="C13" s="5" t="inlineStr">
        <is>
          <t>حملة إحسان</t>
        </is>
      </c>
      <c r="D13" s="5" t="inlineStr">
        <is>
          <t>March</t>
        </is>
      </c>
      <c r="E13" s="5" t="inlineStr">
        <is>
          <t>Q1</t>
        </is>
      </c>
      <c r="F13" s="5" t="inlineStr">
        <is>
          <t>CSR/Charity</t>
        </is>
      </c>
      <c r="G13" s="5" t="n">
        <v>200</v>
      </c>
      <c r="H13" s="5" t="inlineStr">
        <is>
          <t>Light</t>
        </is>
      </c>
    </row>
    <row r="14">
      <c r="A14" s="7" t="n">
        <v>10</v>
      </c>
      <c r="B14" s="7" t="inlineStr">
        <is>
          <t>Eid Al-Fitr Celebration</t>
        </is>
      </c>
      <c r="C14" s="8" t="inlineStr">
        <is>
          <t>احتفال عيد الفطر</t>
        </is>
      </c>
      <c r="D14" s="8" t="inlineStr">
        <is>
          <t>Early April</t>
        </is>
      </c>
      <c r="E14" s="8" t="inlineStr">
        <is>
          <t>Q2</t>
        </is>
      </c>
      <c r="F14" s="8" t="inlineStr">
        <is>
          <t>Major Gala</t>
        </is>
      </c>
      <c r="G14" s="8" t="n">
        <v>300</v>
      </c>
      <c r="H14" s="6" t="inlineStr">
        <is>
          <t>Major</t>
        </is>
      </c>
    </row>
    <row r="15">
      <c r="A15" s="4" t="n">
        <v>11</v>
      </c>
      <c r="B15" s="4" t="inlineStr">
        <is>
          <t>Creativity &amp; Innovation Day</t>
        </is>
      </c>
      <c r="C15" s="5" t="inlineStr">
        <is>
          <t>يوم الإبداع والابتكار</t>
        </is>
      </c>
      <c r="D15" s="5" t="inlineStr">
        <is>
          <t>April 21</t>
        </is>
      </c>
      <c r="E15" s="5" t="inlineStr">
        <is>
          <t>Q2</t>
        </is>
      </c>
      <c r="F15" s="5" t="inlineStr">
        <is>
          <t>Professional Development</t>
        </is>
      </c>
      <c r="G15" s="5" t="n">
        <v>200</v>
      </c>
      <c r="H15" s="9" t="inlineStr">
        <is>
          <t>Medium</t>
        </is>
      </c>
    </row>
    <row r="16">
      <c r="A16" s="7" t="n">
        <v>12</v>
      </c>
      <c r="B16" s="7" t="inlineStr">
        <is>
          <t>International Tea Day</t>
        </is>
      </c>
      <c r="C16" s="8" t="inlineStr">
        <is>
          <t>اليوم العالمي للشاي</t>
        </is>
      </c>
      <c r="D16" s="8" t="inlineStr">
        <is>
          <t>May 21</t>
        </is>
      </c>
      <c r="E16" s="8" t="inlineStr">
        <is>
          <t>Q2</t>
        </is>
      </c>
      <c r="F16" s="8" t="inlineStr">
        <is>
          <t>Social/Wellness</t>
        </is>
      </c>
      <c r="G16" s="8" t="n">
        <v>250</v>
      </c>
      <c r="H16" s="8" t="inlineStr">
        <is>
          <t>Light</t>
        </is>
      </c>
    </row>
    <row r="17">
      <c r="A17" s="4" t="n">
        <v>13</v>
      </c>
      <c r="B17" s="4" t="inlineStr">
        <is>
          <t>Joy Clothing Drive</t>
        </is>
      </c>
      <c r="C17" s="5" t="inlineStr">
        <is>
          <t>كسوة فرح</t>
        </is>
      </c>
      <c r="D17" s="5" t="inlineStr">
        <is>
          <t>May</t>
        </is>
      </c>
      <c r="E17" s="5" t="inlineStr">
        <is>
          <t>Q2</t>
        </is>
      </c>
      <c r="F17" s="5" t="inlineStr">
        <is>
          <t>CSR/Charity</t>
        </is>
      </c>
      <c r="G17" s="5" t="n">
        <v>200</v>
      </c>
      <c r="H17" s="5" t="inlineStr">
        <is>
          <t>Light</t>
        </is>
      </c>
    </row>
    <row r="18">
      <c r="A18" s="7" t="n">
        <v>14</v>
      </c>
      <c r="B18" s="7" t="inlineStr">
        <is>
          <t>World No Tobacco Day</t>
        </is>
      </c>
      <c r="C18" s="8" t="inlineStr">
        <is>
          <t>اليوم العالمي لمكافحة التدخين</t>
        </is>
      </c>
      <c r="D18" s="8" t="inlineStr">
        <is>
          <t>May 31</t>
        </is>
      </c>
      <c r="E18" s="8" t="inlineStr">
        <is>
          <t>Q2</t>
        </is>
      </c>
      <c r="F18" s="8" t="inlineStr">
        <is>
          <t>Health Awareness</t>
        </is>
      </c>
      <c r="G18" s="8" t="n">
        <v>200</v>
      </c>
      <c r="H18" s="8" t="inlineStr">
        <is>
          <t>Light</t>
        </is>
      </c>
    </row>
    <row r="19">
      <c r="A19" s="4" t="n">
        <v>15</v>
      </c>
      <c r="B19" s="4" t="inlineStr">
        <is>
          <t>Blood Donation Day</t>
        </is>
      </c>
      <c r="C19" s="5" t="inlineStr">
        <is>
          <t>يوم التبرع بالدم</t>
        </is>
      </c>
      <c r="D19" s="5" t="inlineStr">
        <is>
          <t>June 14</t>
        </is>
      </c>
      <c r="E19" s="5" t="inlineStr">
        <is>
          <t>Q2</t>
        </is>
      </c>
      <c r="F19" s="5" t="inlineStr">
        <is>
          <t>CSR/Health</t>
        </is>
      </c>
      <c r="G19" s="5" t="n">
        <v>120</v>
      </c>
      <c r="H19" s="5" t="inlineStr">
        <is>
          <t>Light</t>
        </is>
      </c>
    </row>
    <row r="20">
      <c r="A20" s="7" t="n">
        <v>16</v>
      </c>
      <c r="B20" s="7" t="inlineStr">
        <is>
          <t>Father's Day</t>
        </is>
      </c>
      <c r="C20" s="8" t="inlineStr">
        <is>
          <t>يوم الأب</t>
        </is>
      </c>
      <c r="D20" s="8" t="inlineStr">
        <is>
          <t>June 15</t>
        </is>
      </c>
      <c r="E20" s="8" t="inlineStr">
        <is>
          <t>Q2</t>
        </is>
      </c>
      <c r="F20" s="8" t="inlineStr">
        <is>
          <t>Appreciation Event</t>
        </is>
      </c>
      <c r="G20" s="8" t="n">
        <v>160</v>
      </c>
      <c r="H20" s="9" t="inlineStr">
        <is>
          <t>Medium</t>
        </is>
      </c>
    </row>
    <row r="21">
      <c r="A21" s="4" t="n">
        <v>17</v>
      </c>
      <c r="B21" s="4" t="inlineStr">
        <is>
          <t>Eid Al-Adha Celebration</t>
        </is>
      </c>
      <c r="C21" s="5" t="inlineStr">
        <is>
          <t>احتفال عيد الأضحى</t>
        </is>
      </c>
      <c r="D21" s="5" t="inlineStr">
        <is>
          <t>Mid-June</t>
        </is>
      </c>
      <c r="E21" s="5" t="inlineStr">
        <is>
          <t>Q2</t>
        </is>
      </c>
      <c r="F21" s="5" t="inlineStr">
        <is>
          <t>Major Gala</t>
        </is>
      </c>
      <c r="G21" s="5" t="n">
        <v>300</v>
      </c>
      <c r="H21" s="6" t="inlineStr">
        <is>
          <t>Major</t>
        </is>
      </c>
    </row>
    <row r="22">
      <c r="A22" s="7" t="n">
        <v>18</v>
      </c>
      <c r="B22" s="7" t="inlineStr">
        <is>
          <t>Summer SERA (صيف سيرا)</t>
        </is>
      </c>
      <c r="C22" s="8" t="inlineStr">
        <is>
          <t>صيف سيرا</t>
        </is>
      </c>
      <c r="D22" s="8" t="inlineStr">
        <is>
          <t>July 20</t>
        </is>
      </c>
      <c r="E22" s="8" t="inlineStr">
        <is>
          <t>Q3</t>
        </is>
      </c>
      <c r="F22" s="8" t="inlineStr">
        <is>
          <t>Seasonal Family Event</t>
        </is>
      </c>
      <c r="G22" s="8" t="n">
        <v>500</v>
      </c>
      <c r="H22" s="6" t="inlineStr">
        <is>
          <t>Major</t>
        </is>
      </c>
    </row>
    <row r="23">
      <c r="A23" s="4" t="n">
        <v>19</v>
      </c>
      <c r="B23" s="4" t="inlineStr">
        <is>
          <t>SERA Winter (شتوية سيرا)</t>
        </is>
      </c>
      <c r="C23" s="5" t="inlineStr">
        <is>
          <t>شتوية سيرا</t>
        </is>
      </c>
      <c r="D23" s="5" t="inlineStr">
        <is>
          <t>August 19</t>
        </is>
      </c>
      <c r="E23" s="5" t="inlineStr">
        <is>
          <t>Q3</t>
        </is>
      </c>
      <c r="F23" s="5" t="inlineStr">
        <is>
          <t>Seasonal Indoor Event</t>
        </is>
      </c>
      <c r="G23" s="5" t="n">
        <v>300</v>
      </c>
      <c r="H23" s="9" t="inlineStr">
        <is>
          <t>Medium</t>
        </is>
      </c>
    </row>
    <row r="24">
      <c r="A24" s="7" t="n">
        <v>20</v>
      </c>
      <c r="B24" s="7" t="inlineStr">
        <is>
          <t>World First Aid Day</t>
        </is>
      </c>
      <c r="C24" s="8" t="inlineStr">
        <is>
          <t>اليوم العالمي للإسعافات الأولية</t>
        </is>
      </c>
      <c r="D24" s="8" t="inlineStr">
        <is>
          <t>September 13</t>
        </is>
      </c>
      <c r="E24" s="8" t="inlineStr">
        <is>
          <t>Q3</t>
        </is>
      </c>
      <c r="F24" s="8" t="inlineStr">
        <is>
          <t>Health Awareness</t>
        </is>
      </c>
      <c r="G24" s="8" t="n">
        <v>200</v>
      </c>
      <c r="H24" s="8" t="inlineStr">
        <is>
          <t>Light</t>
        </is>
      </c>
    </row>
    <row r="25">
      <c r="A25" s="4" t="n">
        <v>21</v>
      </c>
      <c r="B25" s="4" t="inlineStr">
        <is>
          <t>تزود Skills Development</t>
        </is>
      </c>
      <c r="C25" s="5" t="inlineStr">
        <is>
          <t>تزوّد</t>
        </is>
      </c>
      <c r="D25" s="5" t="inlineStr">
        <is>
          <t>September</t>
        </is>
      </c>
      <c r="E25" s="5" t="inlineStr">
        <is>
          <t>Q3</t>
        </is>
      </c>
      <c r="F25" s="5" t="inlineStr">
        <is>
          <t>Professional Development</t>
        </is>
      </c>
      <c r="G25" s="5" t="n">
        <v>200</v>
      </c>
      <c r="H25" s="9" t="inlineStr">
        <is>
          <t>Medium</t>
        </is>
      </c>
    </row>
    <row r="26">
      <c r="A26" s="7" t="n">
        <v>22</v>
      </c>
      <c r="B26" s="7" t="inlineStr">
        <is>
          <t>World Alzheimer's Day</t>
        </is>
      </c>
      <c r="C26" s="8" t="inlineStr">
        <is>
          <t>اليوم العالمي للزهايمر</t>
        </is>
      </c>
      <c r="D26" s="8" t="inlineStr">
        <is>
          <t>September 21</t>
        </is>
      </c>
      <c r="E26" s="8" t="inlineStr">
        <is>
          <t>Q3</t>
        </is>
      </c>
      <c r="F26" s="8" t="inlineStr">
        <is>
          <t>Health Awareness</t>
        </is>
      </c>
      <c r="G26" s="8" t="n">
        <v>200</v>
      </c>
      <c r="H26" s="8" t="inlineStr">
        <is>
          <t>Light</t>
        </is>
      </c>
    </row>
    <row r="27">
      <c r="A27" s="4" t="n">
        <v>23</v>
      </c>
      <c r="B27" s="4" t="inlineStr">
        <is>
          <t>وش دورنا – What's Our Role</t>
        </is>
      </c>
      <c r="C27" s="5" t="inlineStr">
        <is>
          <t>وش دورنا</t>
        </is>
      </c>
      <c r="D27" s="5" t="inlineStr">
        <is>
          <t>September</t>
        </is>
      </c>
      <c r="E27" s="5" t="inlineStr">
        <is>
          <t>Q3</t>
        </is>
      </c>
      <c r="F27" s="5" t="inlineStr">
        <is>
          <t>Internal Engagement</t>
        </is>
      </c>
      <c r="G27" s="5" t="n">
        <v>200</v>
      </c>
      <c r="H27" s="5" t="inlineStr">
        <is>
          <t>Light</t>
        </is>
      </c>
    </row>
    <row r="28">
      <c r="A28" s="7" t="n">
        <v>24</v>
      </c>
      <c r="B28" s="7" t="inlineStr">
        <is>
          <t>Saudi National Day (96th)</t>
        </is>
      </c>
      <c r="C28" s="8" t="inlineStr">
        <is>
          <t>اليوم الوطني السعودي</t>
        </is>
      </c>
      <c r="D28" s="8" t="inlineStr">
        <is>
          <t>September 23</t>
        </is>
      </c>
      <c r="E28" s="8" t="inlineStr">
        <is>
          <t>Q3</t>
        </is>
      </c>
      <c r="F28" s="8" t="inlineStr">
        <is>
          <t>National Celebration</t>
        </is>
      </c>
      <c r="G28" s="8" t="n">
        <v>300</v>
      </c>
      <c r="H28" s="6" t="inlineStr">
        <is>
          <t>Major</t>
        </is>
      </c>
    </row>
    <row r="29">
      <c r="A29" s="4" t="n">
        <v>25</v>
      </c>
      <c r="B29" s="4" t="inlineStr">
        <is>
          <t>Environment Week</t>
        </is>
      </c>
      <c r="C29" s="5" t="inlineStr">
        <is>
          <t>أسبوع البيئة</t>
        </is>
      </c>
      <c r="D29" s="5" t="inlineStr">
        <is>
          <t>Q3 TBD</t>
        </is>
      </c>
      <c r="E29" s="5" t="inlineStr">
        <is>
          <t>Q3</t>
        </is>
      </c>
      <c r="F29" s="5" t="inlineStr">
        <is>
          <t>Sustainability Awareness</t>
        </is>
      </c>
      <c r="G29" s="5" t="n">
        <v>250</v>
      </c>
      <c r="H29" s="9" t="inlineStr">
        <is>
          <t>Medium</t>
        </is>
      </c>
    </row>
    <row r="30">
      <c r="A30" s="7" t="n">
        <v>26</v>
      </c>
      <c r="B30" s="7" t="inlineStr">
        <is>
          <t>International Coffee Day</t>
        </is>
      </c>
      <c r="C30" s="8" t="inlineStr">
        <is>
          <t>اليوم العالمي للقهوة</t>
        </is>
      </c>
      <c r="D30" s="8" t="inlineStr">
        <is>
          <t>October 1</t>
        </is>
      </c>
      <c r="E30" s="8" t="inlineStr">
        <is>
          <t>Q4</t>
        </is>
      </c>
      <c r="F30" s="8" t="inlineStr">
        <is>
          <t>Social/Wellness</t>
        </is>
      </c>
      <c r="G30" s="8" t="n">
        <v>250</v>
      </c>
      <c r="H30" s="8" t="inlineStr">
        <is>
          <t>Light</t>
        </is>
      </c>
    </row>
    <row r="31">
      <c r="A31" s="4" t="n">
        <v>27</v>
      </c>
      <c r="B31" s="4" t="inlineStr">
        <is>
          <t>Breast Cancer Awareness Day</t>
        </is>
      </c>
      <c r="C31" s="5" t="inlineStr">
        <is>
          <t>اليوم العالمي لسرطان الثدي</t>
        </is>
      </c>
      <c r="D31" s="5" t="inlineStr">
        <is>
          <t>October</t>
        </is>
      </c>
      <c r="E31" s="5" t="inlineStr">
        <is>
          <t>Q4</t>
        </is>
      </c>
      <c r="F31" s="5" t="inlineStr">
        <is>
          <t>Health Awareness</t>
        </is>
      </c>
      <c r="G31" s="5" t="n">
        <v>200</v>
      </c>
      <c r="H31" s="5" t="inlineStr">
        <is>
          <t>Light</t>
        </is>
      </c>
    </row>
    <row r="32">
      <c r="A32" s="7" t="n">
        <v>28</v>
      </c>
      <c r="B32" s="7" t="inlineStr">
        <is>
          <t>Cybersecurity Exhibition</t>
        </is>
      </c>
      <c r="C32" s="8" t="inlineStr">
        <is>
          <t>معرض الأمن السيبراني</t>
        </is>
      </c>
      <c r="D32" s="8" t="inlineStr">
        <is>
          <t>October TBD</t>
        </is>
      </c>
      <c r="E32" s="8" t="inlineStr">
        <is>
          <t>Q4</t>
        </is>
      </c>
      <c r="F32" s="8" t="inlineStr">
        <is>
          <t>Professional/Awareness</t>
        </is>
      </c>
      <c r="G32" s="8" t="n">
        <v>250</v>
      </c>
      <c r="H32" s="9" t="inlineStr">
        <is>
          <t>Medium</t>
        </is>
      </c>
    </row>
    <row r="33">
      <c r="A33" s="4" t="n">
        <v>29</v>
      </c>
      <c r="B33" s="4" t="inlineStr">
        <is>
          <t>World Mental Health Day</t>
        </is>
      </c>
      <c r="C33" s="5" t="inlineStr">
        <is>
          <t>اليوم العالمي للصحة النفسية</t>
        </is>
      </c>
      <c r="D33" s="5" t="inlineStr">
        <is>
          <t>October 10</t>
        </is>
      </c>
      <c r="E33" s="5" t="inlineStr">
        <is>
          <t>Q4</t>
        </is>
      </c>
      <c r="F33" s="5" t="inlineStr">
        <is>
          <t>Health Awareness</t>
        </is>
      </c>
      <c r="G33" s="5" t="n">
        <v>200</v>
      </c>
      <c r="H33" s="5" t="inlineStr">
        <is>
          <t>Light</t>
        </is>
      </c>
    </row>
    <row r="34">
      <c r="A34" s="7" t="n">
        <v>30</v>
      </c>
      <c r="B34" s="7" t="inlineStr">
        <is>
          <t>World Savings Day</t>
        </is>
      </c>
      <c r="C34" s="8" t="inlineStr">
        <is>
          <t>اليوم العالمي للادخار</t>
        </is>
      </c>
      <c r="D34" s="8" t="inlineStr">
        <is>
          <t>October 31</t>
        </is>
      </c>
      <c r="E34" s="8" t="inlineStr">
        <is>
          <t>Q4</t>
        </is>
      </c>
      <c r="F34" s="8" t="inlineStr">
        <is>
          <t>Financial Awareness</t>
        </is>
      </c>
      <c r="G34" s="8" t="n">
        <v>200</v>
      </c>
      <c r="H34" s="8" t="inlineStr">
        <is>
          <t>Light</t>
        </is>
      </c>
    </row>
    <row r="35">
      <c r="A35" s="4" t="n">
        <v>31</v>
      </c>
      <c r="B35" s="4" t="inlineStr">
        <is>
          <t>Quality Day</t>
        </is>
      </c>
      <c r="C35" s="5" t="inlineStr">
        <is>
          <t>يوم الجودة</t>
        </is>
      </c>
      <c r="D35" s="5" t="inlineStr">
        <is>
          <t>November 10</t>
        </is>
      </c>
      <c r="E35" s="5" t="inlineStr">
        <is>
          <t>Q4</t>
        </is>
      </c>
      <c r="F35" s="5" t="inlineStr">
        <is>
          <t>Professional Development</t>
        </is>
      </c>
      <c r="G35" s="5" t="n">
        <v>180</v>
      </c>
      <c r="H35" s="9" t="inlineStr">
        <is>
          <t>Medium</t>
        </is>
      </c>
    </row>
    <row r="36">
      <c r="A36" s="7" t="n">
        <v>32</v>
      </c>
      <c r="B36" s="7" t="inlineStr">
        <is>
          <t>Flu Vaccination Campaign</t>
        </is>
      </c>
      <c r="C36" s="8" t="inlineStr">
        <is>
          <t>حملة التطعيم ضد الإنفلونزا</t>
        </is>
      </c>
      <c r="D36" s="8" t="inlineStr">
        <is>
          <t>November</t>
        </is>
      </c>
      <c r="E36" s="8" t="inlineStr">
        <is>
          <t>Q4</t>
        </is>
      </c>
      <c r="F36" s="8" t="inlineStr">
        <is>
          <t>Health Campaign</t>
        </is>
      </c>
      <c r="G36" s="8" t="n">
        <v>250</v>
      </c>
      <c r="H36" s="8" t="inlineStr">
        <is>
          <t>Light</t>
        </is>
      </c>
    </row>
    <row r="37">
      <c r="A37" s="4" t="n">
        <v>33</v>
      </c>
      <c r="B37" s="4" t="inlineStr">
        <is>
          <t>World Diabetes Day</t>
        </is>
      </c>
      <c r="C37" s="5" t="inlineStr">
        <is>
          <t>اليوم العالمي للسكري</t>
        </is>
      </c>
      <c r="D37" s="5" t="inlineStr">
        <is>
          <t>November 14</t>
        </is>
      </c>
      <c r="E37" s="5" t="inlineStr">
        <is>
          <t>Q4</t>
        </is>
      </c>
      <c r="F37" s="5" t="inlineStr">
        <is>
          <t>Health Awareness</t>
        </is>
      </c>
      <c r="G37" s="5" t="n">
        <v>200</v>
      </c>
      <c r="H37" s="5" t="inlineStr">
        <is>
          <t>Light</t>
        </is>
      </c>
    </row>
    <row r="38">
      <c r="A38" s="7" t="n">
        <v>34</v>
      </c>
      <c r="B38" s="7" t="inlineStr">
        <is>
          <t>International Men's Day</t>
        </is>
      </c>
      <c r="C38" s="8" t="inlineStr">
        <is>
          <t>اليوم العالمي للرجل</t>
        </is>
      </c>
      <c r="D38" s="8" t="inlineStr">
        <is>
          <t>November 19</t>
        </is>
      </c>
      <c r="E38" s="8" t="inlineStr">
        <is>
          <t>Q4</t>
        </is>
      </c>
      <c r="F38" s="8" t="inlineStr">
        <is>
          <t>Appreciation Event</t>
        </is>
      </c>
      <c r="G38" s="8" t="n">
        <v>200</v>
      </c>
      <c r="H38" s="9" t="inlineStr">
        <is>
          <t>Medium</t>
        </is>
      </c>
    </row>
    <row r="39">
      <c r="A39" s="4" t="n">
        <v>35</v>
      </c>
      <c r="B39" s="4" t="inlineStr">
        <is>
          <t>Universal Children's Day</t>
        </is>
      </c>
      <c r="C39" s="5" t="inlineStr">
        <is>
          <t>اليوم العالمي للطفل</t>
        </is>
      </c>
      <c r="D39" s="5" t="inlineStr">
        <is>
          <t>November 20</t>
        </is>
      </c>
      <c r="E39" s="5" t="inlineStr">
        <is>
          <t>Q4</t>
        </is>
      </c>
      <c r="F39" s="5" t="inlineStr">
        <is>
          <t>CSR/Family</t>
        </is>
      </c>
      <c r="G39" s="5" t="n">
        <v>200</v>
      </c>
      <c r="H39" s="9" t="inlineStr">
        <is>
          <t>Medium</t>
        </is>
      </c>
    </row>
    <row r="40">
      <c r="A40" s="7" t="n">
        <v>36</v>
      </c>
      <c r="B40" s="7" t="inlineStr">
        <is>
          <t>Volunteer Day</t>
        </is>
      </c>
      <c r="C40" s="8" t="inlineStr">
        <is>
          <t>يوم التطوع</t>
        </is>
      </c>
      <c r="D40" s="8" t="inlineStr">
        <is>
          <t>December 5</t>
        </is>
      </c>
      <c r="E40" s="8" t="inlineStr">
        <is>
          <t>Q4</t>
        </is>
      </c>
      <c r="F40" s="8" t="inlineStr">
        <is>
          <t>CSR Activity</t>
        </is>
      </c>
      <c r="G40" s="8" t="n">
        <v>80</v>
      </c>
      <c r="H40" s="8" t="inlineStr">
        <is>
          <t>Light</t>
        </is>
      </c>
    </row>
    <row r="41">
      <c r="A41" s="4" t="n">
        <v>37</v>
      </c>
      <c r="B41" s="4" t="inlineStr">
        <is>
          <t>Anti-Corruption Day</t>
        </is>
      </c>
      <c r="C41" s="5" t="inlineStr">
        <is>
          <t>اليوم العالمي لمكافحة الفساد</t>
        </is>
      </c>
      <c r="D41" s="5" t="inlineStr">
        <is>
          <t>December 9</t>
        </is>
      </c>
      <c r="E41" s="5" t="inlineStr">
        <is>
          <t>Q4</t>
        </is>
      </c>
      <c r="F41" s="5" t="inlineStr">
        <is>
          <t>Awareness</t>
        </is>
      </c>
      <c r="G41" s="5" t="n">
        <v>200</v>
      </c>
      <c r="H41" s="5" t="inlineStr">
        <is>
          <t>Light</t>
        </is>
      </c>
    </row>
    <row r="42">
      <c r="A42" s="7" t="n">
        <v>38</v>
      </c>
      <c r="B42" s="7" t="inlineStr">
        <is>
          <t>Transformation Activities</t>
        </is>
      </c>
      <c r="C42" s="8" t="inlineStr">
        <is>
          <t>أنشطة ومبادرات التحول</t>
        </is>
      </c>
      <c r="D42" s="8" t="inlineStr">
        <is>
          <t>Q4 TBD</t>
        </is>
      </c>
      <c r="E42" s="8" t="inlineStr">
        <is>
          <t>Q4</t>
        </is>
      </c>
      <c r="F42" s="8" t="inlineStr">
        <is>
          <t>Digital Transformation</t>
        </is>
      </c>
      <c r="G42" s="8" t="n">
        <v>200</v>
      </c>
      <c r="H42" s="9" t="inlineStr">
        <is>
          <t>Medium</t>
        </is>
      </c>
    </row>
    <row r="43">
      <c r="A43" s="4" t="n">
        <v>39</v>
      </c>
      <c r="B43" s="4" t="inlineStr">
        <is>
          <t>Ideal Office Competition</t>
        </is>
      </c>
      <c r="C43" s="5" t="inlineStr">
        <is>
          <t>المكتب المثالي</t>
        </is>
      </c>
      <c r="D43" s="5" t="inlineStr">
        <is>
          <t>Q4 TBD</t>
        </is>
      </c>
      <c r="E43" s="5" t="inlineStr">
        <is>
          <t>Q4</t>
        </is>
      </c>
      <c r="F43" s="5" t="inlineStr">
        <is>
          <t>Internal Competition</t>
        </is>
      </c>
      <c r="G43" s="5" t="n">
        <v>200</v>
      </c>
      <c r="H43" s="5" t="inlineStr">
        <is>
          <t>Light</t>
        </is>
      </c>
    </row>
    <row r="44">
      <c r="A44" s="7" t="n">
        <v>40</v>
      </c>
      <c r="B44" s="7" t="inlineStr">
        <is>
          <t>Arabic Language Day</t>
        </is>
      </c>
      <c r="C44" s="8" t="inlineStr">
        <is>
          <t>اليوم العالمي للغة العربية</t>
        </is>
      </c>
      <c r="D44" s="8" t="inlineStr">
        <is>
          <t>December 18</t>
        </is>
      </c>
      <c r="E44" s="8" t="inlineStr">
        <is>
          <t>Q4</t>
        </is>
      </c>
      <c r="F44" s="8" t="inlineStr">
        <is>
          <t>Cultural Celebration</t>
        </is>
      </c>
      <c r="G44" s="8" t="n">
        <v>200</v>
      </c>
      <c r="H44" s="9" t="inlineStr">
        <is>
          <t>Medium</t>
        </is>
      </c>
    </row>
    <row r="45">
      <c r="A45" s="4" t="n">
        <v>41</v>
      </c>
      <c r="B45" s="4" t="inlineStr">
        <is>
          <t>Year-End Celebration</t>
        </is>
      </c>
      <c r="C45" s="5" t="inlineStr">
        <is>
          <t>حفل نهاية العام</t>
        </is>
      </c>
      <c r="D45" s="5" t="inlineStr">
        <is>
          <t>Late December</t>
        </is>
      </c>
      <c r="E45" s="5" t="inlineStr">
        <is>
          <t>Q4</t>
        </is>
      </c>
      <c r="F45" s="5" t="inlineStr">
        <is>
          <t>Major Gala</t>
        </is>
      </c>
      <c r="G45" s="5" t="n">
        <v>300</v>
      </c>
      <c r="H45" s="6" t="inlineStr">
        <is>
          <t>Major</t>
        </is>
      </c>
    </row>
    <row r="46">
      <c r="A46" s="7" t="inlineStr">
        <is>
          <t>S1</t>
        </is>
      </c>
      <c r="B46" s="7" t="inlineStr">
        <is>
          <t>Football Tournament</t>
        </is>
      </c>
      <c r="C46" s="8" t="inlineStr">
        <is>
          <t>بطولة كرة القدم</t>
        </is>
      </c>
      <c r="D46" s="8" t="inlineStr">
        <is>
          <t>TBD (3 weekends)</t>
        </is>
      </c>
      <c r="E46" s="8" t="inlineStr">
        <is>
          <t>Sports</t>
        </is>
      </c>
      <c r="F46" s="8" t="inlineStr">
        <is>
          <t>Sports Competition</t>
        </is>
      </c>
      <c r="G46" s="8" t="n">
        <v>150</v>
      </c>
      <c r="H46" s="6" t="inlineStr">
        <is>
          <t>Major</t>
        </is>
      </c>
    </row>
    <row r="47">
      <c r="A47" s="4" t="inlineStr">
        <is>
          <t>S2</t>
        </is>
      </c>
      <c r="B47" s="4" t="inlineStr">
        <is>
          <t>Padel Tournament</t>
        </is>
      </c>
      <c r="C47" s="5" t="inlineStr">
        <is>
          <t>بطولة البادل</t>
        </is>
      </c>
      <c r="D47" s="5" t="inlineStr">
        <is>
          <t>TBD (2 weekends)</t>
        </is>
      </c>
      <c r="E47" s="5" t="inlineStr">
        <is>
          <t>Sports</t>
        </is>
      </c>
      <c r="F47" s="5" t="inlineStr">
        <is>
          <t>Sports Competition</t>
        </is>
      </c>
      <c r="G47" s="5" t="n">
        <v>20</v>
      </c>
      <c r="H47" s="9" t="inlineStr">
        <is>
          <t>Medium</t>
        </is>
      </c>
    </row>
    <row r="48">
      <c r="A48" s="7" t="inlineStr">
        <is>
          <t>S3</t>
        </is>
      </c>
      <c r="B48" s="7" t="inlineStr">
        <is>
          <t>Walking Challenge &amp; SERA Friday</t>
        </is>
      </c>
      <c r="C48" s="8" t="inlineStr">
        <is>
          <t>تحدي المشي + جمعة سيرا</t>
        </is>
      </c>
      <c r="D48" s="8" t="inlineStr">
        <is>
          <t>Quarterly + Annual</t>
        </is>
      </c>
      <c r="E48" s="8" t="inlineStr">
        <is>
          <t>Sports</t>
        </is>
      </c>
      <c r="F48" s="8" t="inlineStr">
        <is>
          <t>Sports/Wellness</t>
        </is>
      </c>
      <c r="G48" s="8" t="n">
        <v>200</v>
      </c>
      <c r="H48" s="9" t="inlineStr">
        <is>
          <t>Medium</t>
        </is>
      </c>
    </row>
    <row r="51">
      <c r="A51" s="10" t="inlineStr">
        <is>
          <t>BUDGET SUMMARY (Linked from Financial Proposal &amp; Sports Budget)</t>
        </is>
      </c>
    </row>
    <row r="52">
      <c r="A52" s="3" t="inlineStr">
        <is>
          <t>Category</t>
        </is>
      </c>
      <c r="B52" s="3" t="inlineStr">
        <is>
          <t># Events</t>
        </is>
      </c>
      <c r="C52" s="3" t="inlineStr">
        <is>
          <t>Total (SAR)</t>
        </is>
      </c>
      <c r="D52" s="3" t="inlineStr">
        <is>
          <t>% of Annual</t>
        </is>
      </c>
      <c r="E52" t="inlineStr"/>
      <c r="F52" t="inlineStr"/>
      <c r="G52" t="inlineStr"/>
      <c r="H52" t="inlineStr"/>
    </row>
    <row r="53">
      <c r="A53" s="11" t="inlineStr">
        <is>
          <t>Q1 Events</t>
        </is>
      </c>
      <c r="B53" s="12" t="n">
        <v>9</v>
      </c>
      <c r="C53" s="13">
        <f>'Financial Proposal'!E595</f>
        <v/>
      </c>
      <c r="D53" s="14">
        <f>C53/C58</f>
        <v/>
      </c>
    </row>
    <row r="54">
      <c r="A54" s="11" t="inlineStr">
        <is>
          <t>Q2 Events</t>
        </is>
      </c>
      <c r="B54" s="12" t="n">
        <v>8</v>
      </c>
      <c r="C54" s="13">
        <f>'Financial Proposal'!E596</f>
        <v/>
      </c>
      <c r="D54" s="14">
        <f>C54/C59</f>
        <v/>
      </c>
    </row>
    <row r="55">
      <c r="A55" s="11" t="inlineStr">
        <is>
          <t>Q3 Events</t>
        </is>
      </c>
      <c r="B55" s="12" t="n">
        <v>8</v>
      </c>
      <c r="C55" s="13">
        <f>'Financial Proposal'!E597</f>
        <v/>
      </c>
      <c r="D55" s="14">
        <f>C55/C60</f>
        <v/>
      </c>
    </row>
    <row r="56">
      <c r="A56" s="11" t="inlineStr">
        <is>
          <t>Q4 Events</t>
        </is>
      </c>
      <c r="B56" s="12" t="n">
        <v>16</v>
      </c>
      <c r="C56" s="13">
        <f>'Financial Proposal'!E598</f>
        <v/>
      </c>
      <c r="D56" s="14">
        <f>C56/C58</f>
        <v/>
      </c>
    </row>
    <row r="57">
      <c r="A57" s="11" t="inlineStr">
        <is>
          <t>Sports Events</t>
        </is>
      </c>
      <c r="B57" s="12" t="n">
        <v>3</v>
      </c>
      <c r="C57" s="13">
        <f>'Sports Budget'!E2</f>
        <v/>
      </c>
      <c r="D57" s="15" t="n"/>
    </row>
    <row r="58">
      <c r="A58" s="16" t="inlineStr">
        <is>
          <t>GRAND TOTAL (ex-VAT)</t>
        </is>
      </c>
      <c r="B58" s="16" t="n"/>
      <c r="C58" s="17">
        <f>'Financial Proposal'!E605</f>
        <v/>
      </c>
      <c r="D58" s="16" t="n"/>
    </row>
    <row r="59">
      <c r="A59" s="11" t="inlineStr">
        <is>
          <t>VAT (15%)</t>
        </is>
      </c>
      <c r="B59" s="15" t="n"/>
      <c r="C59" s="18">
        <f>C58*0.15</f>
        <v/>
      </c>
      <c r="D59" s="15" t="n"/>
    </row>
    <row r="60">
      <c r="A60" s="19" t="inlineStr">
        <is>
          <t>★ GRAND TOTAL (inc. VAT)</t>
        </is>
      </c>
      <c r="B60" s="19" t="n"/>
      <c r="C60" s="20">
        <f>C58+C59</f>
        <v/>
      </c>
      <c r="D60" s="19" t="n"/>
    </row>
  </sheetData>
  <mergeCells count="3">
    <mergeCell ref="A2:H2"/>
    <mergeCell ref="A51:H5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2B788"/>
    <outlinePr summaryBelow="1" summaryRight="1"/>
    <pageSetUpPr/>
  </sheetPr>
  <dimension ref="A1:G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6" customWidth="1" min="1" max="1"/>
    <col width="32" customWidth="1" min="2" max="2"/>
    <col width="14" customWidth="1" min="3" max="3"/>
    <col width="30" customWidth="1" min="4" max="4"/>
    <col width="35" customWidth="1" min="5" max="5"/>
    <col width="35" customWidth="1" min="6" max="6"/>
    <col width="50" customWidth="1" min="7" max="7"/>
  </cols>
  <sheetData>
    <row r="1">
      <c r="A1" s="1" t="inlineStr">
        <is>
          <t>SERA 2026 — TECHNICAL PROPOSAL (EVENT SPECIFICATIONS)</t>
        </is>
      </c>
    </row>
    <row r="3">
      <c r="A3" s="3" t="inlineStr">
        <is>
          <t>#</t>
        </is>
      </c>
      <c r="B3" s="3" t="inlineStr">
        <is>
          <t>Event Name</t>
        </is>
      </c>
      <c r="C3" s="3" t="inlineStr">
        <is>
          <t>Date</t>
        </is>
      </c>
      <c r="D3" s="3" t="inlineStr">
        <is>
          <t>Venue Recommendation</t>
        </is>
      </c>
      <c r="E3" s="3" t="inlineStr">
        <is>
          <t>Stage &amp; Décor</t>
        </is>
      </c>
      <c r="F3" s="3" t="inlineStr">
        <is>
          <t>Audio-Visual Requirements</t>
        </is>
      </c>
      <c r="G3" s="3" t="inlineStr">
        <is>
          <t>Key Services &amp; Scope</t>
        </is>
      </c>
    </row>
    <row r="4">
      <c r="A4" s="4" t="n">
        <v>1</v>
      </c>
      <c r="B4" s="4" t="inlineStr">
        <is>
          <t>Annual Meeting 2026</t>
        </is>
      </c>
      <c r="C4" s="5" t="inlineStr">
        <is>
          <t>Feb 3</t>
        </is>
      </c>
      <c r="D4" s="5" t="inlineStr">
        <is>
          <t>5-Star Hotel Ballroom (Ritz-Carlton / Four Seasons)</t>
        </is>
      </c>
      <c r="E4" s="5" t="inlineStr">
        <is>
          <t>Stage 8m×5m, branded backdrop, podium with SERA logo</t>
        </is>
      </c>
      <c r="F4" s="5" t="inlineStr">
        <is>
          <t>LED Wall P2.5 5m×3m, Line-array sound, 6 wireless mics, live streaming</t>
        </is>
      </c>
      <c r="G4" s="5" t="inlineStr">
        <is>
          <t>Simultaneous AR/EN translation, Prof. MC, Registration QR system, Photography (2), Videography (2), Printed materials</t>
        </is>
      </c>
    </row>
    <row r="5">
      <c r="A5" s="7" t="n">
        <v>2</v>
      </c>
      <c r="B5" s="7" t="inlineStr">
        <is>
          <t>Founding Day</t>
        </is>
      </c>
      <c r="C5" s="8" t="inlineStr">
        <is>
          <t>Feb 22</t>
        </is>
      </c>
      <c r="D5" s="8" t="inlineStr">
        <is>
          <t>SERA HQ – Internal</t>
        </is>
      </c>
      <c r="E5" s="8" t="inlineStr">
        <is>
          <t>Heritage displays, Founding Day national theme</t>
        </is>
      </c>
      <c r="F5" s="8" t="inlineStr">
        <is>
          <t>Sound for anthem + speeches</t>
        </is>
      </c>
      <c r="G5" s="8" t="inlineStr">
        <is>
          <t>Heritage displays, commemorative items, social media live coverage</t>
        </is>
      </c>
    </row>
    <row r="6">
      <c r="A6" s="4" t="n">
        <v>3</v>
      </c>
      <c r="B6" s="4" t="inlineStr">
        <is>
          <t>Employee Appreciation Day</t>
        </is>
      </c>
      <c r="C6" s="5" t="inlineStr">
        <is>
          <t>Mar 2</t>
        </is>
      </c>
      <c r="D6" s="5" t="inlineStr">
        <is>
          <t>5-Star Hotel – Gala round-table setup</t>
        </is>
      </c>
      <c r="E6" s="5" t="inlineStr">
        <is>
          <t>Gala stage, premium décor, uplighting, award pedestals</t>
        </is>
      </c>
      <c r="F6" s="5" t="inlineStr">
        <is>
          <t>Full AV, spotlight for awards, background music system</t>
        </is>
      </c>
      <c r="G6" s="5" t="inlineStr">
        <is>
          <t>12 crystal trophies, Live band (2.5hr), Gift boxes, Prof. MC, Full photo/video team</t>
        </is>
      </c>
    </row>
    <row r="7">
      <c r="A7" s="7" t="n">
        <v>4</v>
      </c>
      <c r="B7" s="7" t="inlineStr">
        <is>
          <t>International Women's Day</t>
        </is>
      </c>
      <c r="C7" s="8" t="inlineStr">
        <is>
          <t>Mar 8</t>
        </is>
      </c>
      <c r="D7" s="8" t="inlineStr">
        <is>
          <t>Boutique venue or hotel ladies' section</t>
        </is>
      </c>
      <c r="E7" s="8" t="inlineStr">
        <is>
          <t>Elegant feminine décor, premium floral arrangements</t>
        </is>
      </c>
      <c r="F7" s="8" t="inlineStr">
        <is>
          <t>Projector, wireless mic, ambient music</t>
        </is>
      </c>
      <c r="G7" s="8" t="inlineStr">
        <is>
          <t>Female keynote + panel (3 speakers), Photo booth, Curated gift bags, Female photographer</t>
        </is>
      </c>
    </row>
    <row r="8">
      <c r="A8" s="4" t="n">
        <v>5</v>
      </c>
      <c r="B8" s="4" t="inlineStr">
        <is>
          <t>Saudi Flag Day</t>
        </is>
      </c>
      <c r="C8" s="5" t="inlineStr">
        <is>
          <t>Mar 11</t>
        </is>
      </c>
      <c r="D8" s="5" t="inlineStr">
        <is>
          <t>SERA HQ – Lobby &amp; outdoor</t>
        </is>
      </c>
      <c r="E8" s="5" t="inlineStr">
        <is>
          <t>Large Saudi flag (5m+), national green/white theme</t>
        </is>
      </c>
      <c r="F8" s="5" t="inlineStr">
        <is>
          <t>Portable sound for anthem + speeches</t>
        </is>
      </c>
      <c r="G8" s="5" t="inlineStr">
        <is>
          <t>Flag ceremony, Commemorative items, Social media live coverage</t>
        </is>
      </c>
    </row>
    <row r="9">
      <c r="A9" s="7" t="n">
        <v>6</v>
      </c>
      <c r="B9" s="7" t="inlineStr">
        <is>
          <t>Ramadan Iftar</t>
        </is>
      </c>
      <c r="C9" s="8" t="inlineStr">
        <is>
          <t>Mid-Mar</t>
        </is>
      </c>
      <c r="D9" s="8" t="inlineStr">
        <is>
          <t>5-Star Hotel Ramadan Tent</t>
        </is>
      </c>
      <c r="E9" s="8" t="inlineStr">
        <is>
          <t>Traditional Ramadan décor: lanterns, crescents, VIP majlis</t>
        </is>
      </c>
      <c r="F9" s="8" t="inlineStr">
        <is>
          <t>Ambient lighting, background system</t>
        </is>
      </c>
      <c r="G9" s="8" t="inlineStr">
        <is>
          <t>Premium Iftar buffet, Oud player, Ramadan gift boxes, Prayer area arrangement</t>
        </is>
      </c>
    </row>
    <row r="10">
      <c r="A10" s="4" t="n">
        <v>7</v>
      </c>
      <c r="B10" s="4" t="inlineStr">
        <is>
          <t>Mother's Day</t>
        </is>
      </c>
      <c r="C10" s="5" t="inlineStr">
        <is>
          <t>Mar 21</t>
        </is>
      </c>
      <c r="D10" s="5" t="inlineStr">
        <is>
          <t>Elegant restaurant private section</t>
        </is>
      </c>
      <c r="E10" s="5" t="inlineStr">
        <is>
          <t>Floral-themed décor, photo area</t>
        </is>
      </c>
      <c r="F10" s="5" t="inlineStr">
        <is>
          <t>Basic sound for music/announcements</t>
        </is>
      </c>
      <c r="G10" s="5" t="inlineStr">
        <is>
          <t>Flower gifts, Special mother gifts, Entertainment, Photography</t>
        </is>
      </c>
    </row>
    <row r="11">
      <c r="A11" s="7" t="n">
        <v>8</v>
      </c>
      <c r="B11" s="7" t="inlineStr">
        <is>
          <t>Saudi Green Initiative</t>
        </is>
      </c>
      <c r="C11" s="8" t="inlineStr">
        <is>
          <t>Mar 27</t>
        </is>
      </c>
      <c r="D11" s="8" t="inlineStr">
        <is>
          <t>SERA HQ – Exhibition area</t>
        </is>
      </c>
      <c r="E11" s="8" t="inlineStr">
        <is>
          <t>Green/sustainability themed booths, eco displays</t>
        </is>
      </c>
      <c r="F11" s="8" t="inlineStr">
        <is>
          <t>Presentation setup, ambient music</t>
        </is>
      </c>
      <c r="G11" s="8" t="inlineStr">
        <is>
          <t>Environmental expert, Green exhibits, Eco giveaways, Sustainability displays</t>
        </is>
      </c>
    </row>
    <row r="12">
      <c r="A12" s="4" t="n">
        <v>9</v>
      </c>
      <c r="B12" s="4" t="inlineStr">
        <is>
          <t>Ehsan Philanthropy Campaign</t>
        </is>
      </c>
      <c r="C12" s="5" t="inlineStr">
        <is>
          <t>March</t>
        </is>
      </c>
      <c r="D12" s="5" t="inlineStr">
        <is>
          <t>SERA HQ – Lobby area</t>
        </is>
      </c>
      <c r="E12" s="5" t="inlineStr">
        <is>
          <t>Ehsan platform displays, donation stations</t>
        </is>
      </c>
      <c r="F12" s="5" t="inlineStr">
        <is>
          <t>Basic presentation setup</t>
        </is>
      </c>
      <c r="G12" s="5" t="inlineStr">
        <is>
          <t>Campaign awareness booth, QR donation stations, Impact stories display</t>
        </is>
      </c>
    </row>
    <row r="13">
      <c r="A13" s="7" t="n">
        <v>10</v>
      </c>
      <c r="B13" s="7" t="inlineStr">
        <is>
          <t>Eid Al-Fitr Celebration</t>
        </is>
      </c>
      <c r="C13" s="8" t="inlineStr">
        <is>
          <t>Early Apr</t>
        </is>
      </c>
      <c r="D13" s="8" t="inlineStr">
        <is>
          <t>5-Star Hotel Grand Ballroom</t>
        </is>
      </c>
      <c r="E13" s="8" t="inlineStr">
        <is>
          <t>Festive Eid gold/white, large stage, entrance arch</t>
        </is>
      </c>
      <c r="F13" s="8" t="inlineStr">
        <is>
          <t>Full production: LED wall, concert sound, lighting design</t>
        </is>
      </c>
      <c r="G13" s="8" t="inlineStr">
        <is>
          <t>Ardah troupe + live music, Eid gifts, Children's corner (optional), Prof. MC</t>
        </is>
      </c>
    </row>
    <row r="14">
      <c r="A14" s="4" t="n">
        <v>11</v>
      </c>
      <c r="B14" s="4" t="inlineStr">
        <is>
          <t>Creativity &amp; Innovation Day</t>
        </is>
      </c>
      <c r="C14" s="5" t="inlineStr">
        <is>
          <t>Apr 21</t>
        </is>
      </c>
      <c r="D14" s="5" t="inlineStr">
        <is>
          <t>Conference Center</t>
        </is>
      </c>
      <c r="E14" s="5" t="inlineStr">
        <is>
          <t>Main stage + 10 department innovation booths</t>
        </is>
      </c>
      <c r="F14" s="5" t="inlineStr">
        <is>
          <t>Conference AV, booth displays, digital voting</t>
        </is>
      </c>
      <c r="G14" s="5" t="inlineStr">
        <is>
          <t>Keynote speaker, Innovation competition, 7 awards, Interactive voting</t>
        </is>
      </c>
    </row>
    <row r="15">
      <c r="A15" s="7" t="n">
        <v>12</v>
      </c>
      <c r="B15" s="7" t="inlineStr">
        <is>
          <t>International Tea Day</t>
        </is>
      </c>
      <c r="C15" s="8" t="inlineStr">
        <is>
          <t>May 21</t>
        </is>
      </c>
      <c r="D15" s="8" t="inlineStr">
        <is>
          <t>SERA HQ Common Areas</t>
        </is>
      </c>
      <c r="E15" s="8" t="inlineStr">
        <is>
          <t>Tea-themed décor, 3 service stations</t>
        </is>
      </c>
      <c r="F15" s="8" t="inlineStr">
        <is>
          <t>Background music</t>
        </is>
      </c>
      <c r="G15" s="8" t="inlineStr">
        <is>
          <t>Arabic/English/Asian tea stations, Gourmet pairings, Tea culture displays</t>
        </is>
      </c>
    </row>
    <row r="16">
      <c r="A16" s="4" t="n">
        <v>13</v>
      </c>
      <c r="B16" s="4" t="inlineStr">
        <is>
          <t>Joy Clothing Drive</t>
        </is>
      </c>
      <c r="C16" s="5" t="inlineStr">
        <is>
          <t>May</t>
        </is>
      </c>
      <c r="D16" s="5" t="inlineStr">
        <is>
          <t>SERA HQ – Collection area</t>
        </is>
      </c>
      <c r="E16" s="5" t="inlineStr">
        <is>
          <t>Collection booths, sorting stations, CSR banners</t>
        </is>
      </c>
      <c r="F16" s="5" t="inlineStr">
        <is>
          <t>None needed</t>
        </is>
      </c>
      <c r="G16" s="5" t="inlineStr">
        <is>
          <t>Collection points, volunteer coordination, sorting &amp; distribution logistics</t>
        </is>
      </c>
    </row>
    <row r="17">
      <c r="A17" s="7" t="n">
        <v>14</v>
      </c>
      <c r="B17" s="7" t="inlineStr">
        <is>
          <t>World No Tobacco Day</t>
        </is>
      </c>
      <c r="C17" s="8" t="inlineStr">
        <is>
          <t>May 31</t>
        </is>
      </c>
      <c r="D17" s="8" t="inlineStr">
        <is>
          <t>SERA HQ – Health zone</t>
        </is>
      </c>
      <c r="E17" s="8" t="inlineStr">
        <is>
          <t>Anti-smoking displays, health info panels</t>
        </is>
      </c>
      <c r="F17" s="8" t="inlineStr">
        <is>
          <t>Presentation setup</t>
        </is>
      </c>
      <c r="G17" s="8" t="inlineStr">
        <is>
          <t>Health expert speaker, CO breath test station, Awareness materials</t>
        </is>
      </c>
    </row>
    <row r="18">
      <c r="A18" s="4" t="n">
        <v>15</v>
      </c>
      <c r="B18" s="4" t="inlineStr">
        <is>
          <t>Blood Donation Day</t>
        </is>
      </c>
      <c r="C18" s="5" t="inlineStr">
        <is>
          <t>Jun 14</t>
        </is>
      </c>
      <c r="D18" s="5" t="inlineStr">
        <is>
          <t>SERA HQ – Medical setup area</t>
        </is>
      </c>
      <c r="E18" s="5" t="inlineStr">
        <is>
          <t>Awareness materials, registration area, recovery zone</t>
        </is>
      </c>
      <c r="F18" s="5" t="inlineStr">
        <is>
          <t>Digital screens with awareness content</t>
        </is>
      </c>
      <c r="G18" s="5" t="inlineStr">
        <is>
          <t>Red Crescent partnership, Pre-event campaign, Donor gifts &amp; certificates</t>
        </is>
      </c>
    </row>
    <row r="19">
      <c r="A19" s="7" t="n">
        <v>16</v>
      </c>
      <c r="B19" s="7" t="inlineStr">
        <is>
          <t>Father's Day</t>
        </is>
      </c>
      <c r="C19" s="8" t="inlineStr">
        <is>
          <t>Jun 15</t>
        </is>
      </c>
      <c r="D19" s="8" t="inlineStr">
        <is>
          <t>Restaurant / Event space</t>
        </is>
      </c>
      <c r="E19" s="8" t="inlineStr">
        <is>
          <t>Celebration décor, activity zone</t>
        </is>
      </c>
      <c r="F19" s="8" t="inlineStr">
        <is>
          <t>Sound system</t>
        </is>
      </c>
      <c r="G19" s="8" t="inlineStr">
        <is>
          <t>Gifts for fathers (50% assumed), Team-building activities</t>
        </is>
      </c>
    </row>
    <row r="20">
      <c r="A20" s="4" t="n">
        <v>17</v>
      </c>
      <c r="B20" s="4" t="inlineStr">
        <is>
          <t>Eid Al-Adha Celebration</t>
        </is>
      </c>
      <c r="C20" s="5" t="inlineStr">
        <is>
          <t>Mid-Jun</t>
        </is>
      </c>
      <c r="D20" s="5" t="inlineStr">
        <is>
          <t>5-Star Hotel Grand Ballroom</t>
        </is>
      </c>
      <c r="E20" s="5" t="inlineStr">
        <is>
          <t>Traditional Arabian Eid theme, large stage</t>
        </is>
      </c>
      <c r="F20" s="5" t="inlineStr">
        <is>
          <t>Full production: LED, concert sound, lighting</t>
        </is>
      </c>
      <c r="G20" s="5" t="inlineStr">
        <is>
          <t>Ardah + live music, Lamb-focused feast, Eid gifts, Prof. MC</t>
        </is>
      </c>
    </row>
    <row r="21">
      <c r="A21" s="7" t="n">
        <v>18</v>
      </c>
      <c r="B21" s="7" t="inlineStr">
        <is>
          <t>Summer SERA (صيف سيرا)</t>
        </is>
      </c>
      <c r="C21" s="8" t="inlineStr">
        <is>
          <t>Jul 20</t>
        </is>
      </c>
      <c r="D21" s="8" t="inlineStr">
        <is>
          <t>Entertainment venue – EVENING ONLY (45°C heat)</t>
        </is>
      </c>
      <c r="E21" s="8" t="inlineStr">
        <is>
          <t>Multi-zone: main stage, kids zone, food area, games</t>
        </is>
      </c>
      <c r="F21" s="8" t="inlineStr">
        <is>
          <t>Concert-grade outdoor sound &amp; lighting</t>
        </is>
      </c>
      <c r="G21" s="8" t="inlineStr">
        <is>
          <t>Headline entertainment, Kids zone, 10 game booths, Food festival, Raffle, Family gifts</t>
        </is>
      </c>
    </row>
    <row r="22">
      <c r="A22" s="4" t="n">
        <v>19</v>
      </c>
      <c r="B22" s="4" t="inlineStr">
        <is>
          <t>SERA Winter (شتوية سيرا)</t>
        </is>
      </c>
      <c r="C22" s="5" t="inlineStr">
        <is>
          <t>Aug 19</t>
        </is>
      </c>
      <c r="D22" s="5" t="inlineStr">
        <is>
          <t>Indoor entertainment venue (air-conditioned)</t>
        </is>
      </c>
      <c r="E22" s="5" t="inlineStr">
        <is>
          <t>Winter wonderland theme, snow effects, ambient lighting</t>
        </is>
      </c>
      <c r="F22" s="5" t="inlineStr">
        <is>
          <t>Full AV, music, effects</t>
        </is>
      </c>
      <c r="G22" s="5" t="inlineStr">
        <is>
          <t>Entertainment program, Food stations, Photo booth, Winter-themed activities</t>
        </is>
      </c>
    </row>
    <row r="23">
      <c r="A23" s="7" t="n">
        <v>20</v>
      </c>
      <c r="B23" s="7" t="inlineStr">
        <is>
          <t>World First Aid Day</t>
        </is>
      </c>
      <c r="C23" s="8" t="inlineStr">
        <is>
          <t>Sep 13</t>
        </is>
      </c>
      <c r="D23" s="8" t="inlineStr">
        <is>
          <t>SERA HQ – Training area</t>
        </is>
      </c>
      <c r="E23" s="8" t="inlineStr">
        <is>
          <t>First aid training layout, demo stations</t>
        </is>
      </c>
      <c r="F23" s="8" t="inlineStr">
        <is>
          <t>Presentation setup</t>
        </is>
      </c>
      <c r="G23" s="8" t="inlineStr">
        <is>
          <t>CPR training workshop, First aid kits, Paramedic expert, Certification</t>
        </is>
      </c>
    </row>
    <row r="24">
      <c r="A24" s="4" t="n">
        <v>21</v>
      </c>
      <c r="B24" s="4" t="inlineStr">
        <is>
          <t>تزود Skills Development</t>
        </is>
      </c>
      <c r="C24" s="5" t="inlineStr">
        <is>
          <t>Sep</t>
        </is>
      </c>
      <c r="D24" s="5" t="inlineStr">
        <is>
          <t>Conference / Training Venue</t>
        </is>
      </c>
      <c r="E24" s="5" t="inlineStr">
        <is>
          <t>Professional training setup, workshop layout</t>
        </is>
      </c>
      <c r="F24" s="5" t="inlineStr">
        <is>
          <t>Conference AV, projector, mics</t>
        </is>
      </c>
      <c r="G24" s="5" t="inlineStr">
        <is>
          <t>Expert trainers (2 sessions), Training materials, Certificates, Full-day program</t>
        </is>
      </c>
    </row>
    <row r="25">
      <c r="A25" s="7" t="n">
        <v>22</v>
      </c>
      <c r="B25" s="7" t="inlineStr">
        <is>
          <t>World Alzheimer's Day</t>
        </is>
      </c>
      <c r="C25" s="8" t="inlineStr">
        <is>
          <t>Sep 21</t>
        </is>
      </c>
      <c r="D25" s="8" t="inlineStr">
        <is>
          <t>SERA HQ</t>
        </is>
      </c>
      <c r="E25" s="8" t="inlineStr">
        <is>
          <t>Purple awareness theme, info booth</t>
        </is>
      </c>
      <c r="F25" s="8" t="inlineStr">
        <is>
          <t>Presentation setup</t>
        </is>
      </c>
      <c r="G25" s="8" t="inlineStr">
        <is>
          <t>Healthcare expert speaker, Purple ribbons, Awareness displays</t>
        </is>
      </c>
    </row>
    <row r="26">
      <c r="A26" s="4" t="n">
        <v>23</v>
      </c>
      <c r="B26" s="4" t="inlineStr">
        <is>
          <t>وش دورنا – What's Our Role</t>
        </is>
      </c>
      <c r="C26" s="5" t="inlineStr">
        <is>
          <t>Sep</t>
        </is>
      </c>
      <c r="D26" s="5" t="inlineStr">
        <is>
          <t>SERA HQ – Meeting area</t>
        </is>
      </c>
      <c r="E26" s="5" t="inlineStr">
        <is>
          <t>Interactive workshop layout, role displays</t>
        </is>
      </c>
      <c r="F26" s="5" t="inlineStr">
        <is>
          <t>Basic AV for presentations</t>
        </is>
      </c>
      <c r="G26" s="5" t="inlineStr">
        <is>
          <t>Professional facilitator, Interactive exercises, Role guides, Team activities</t>
        </is>
      </c>
    </row>
    <row r="27">
      <c r="A27" s="7" t="n">
        <v>24</v>
      </c>
      <c r="B27" s="7" t="inlineStr">
        <is>
          <t>Saudi National Day (96th)</t>
        </is>
      </c>
      <c r="C27" s="8" t="inlineStr">
        <is>
          <t>Sep 23</t>
        </is>
      </c>
      <c r="D27" s="8" t="inlineStr">
        <is>
          <t>Premium venue with outdoor option</t>
        </is>
      </c>
      <c r="E27" s="8" t="inlineStr">
        <is>
          <t>Premium green national décor, flags, national symbols</t>
        </is>
      </c>
      <c r="F27" s="8" t="inlineStr">
        <is>
          <t>Full AV production, LED national content, green effects</t>
        </is>
      </c>
      <c r="G27" s="8" t="inlineStr">
        <is>
          <t>Ardah troupe, Cultural acts, National gifts, Green lighting effects. BOOK 3-4 MONTHS AHEAD</t>
        </is>
      </c>
    </row>
    <row r="28">
      <c r="A28" s="4" t="n">
        <v>25</v>
      </c>
      <c r="B28" s="4" t="inlineStr">
        <is>
          <t>Environment Week</t>
        </is>
      </c>
      <c r="C28" s="5" t="inlineStr">
        <is>
          <t>Q3 TBD</t>
        </is>
      </c>
      <c r="D28" s="5" t="inlineStr">
        <is>
          <t>SERA HQ – Exhibition area (5 days)</t>
        </is>
      </c>
      <c r="E28" s="5" t="inlineStr">
        <is>
          <t>Green/eco displays, sustainability booths, plant features</t>
        </is>
      </c>
      <c r="F28" s="5" t="inlineStr">
        <is>
          <t>Daily presentation setup</t>
        </is>
      </c>
      <c r="G28" s="5" t="inlineStr">
        <is>
          <t>5-day program, Expert speakers, Tree planting, Eco workshops, Green activities</t>
        </is>
      </c>
    </row>
    <row r="29">
      <c r="A29" s="7" t="n">
        <v>26</v>
      </c>
      <c r="B29" s="7" t="inlineStr">
        <is>
          <t>International Coffee Day</t>
        </is>
      </c>
      <c r="C29" s="8" t="inlineStr">
        <is>
          <t>Oct 1</t>
        </is>
      </c>
      <c r="D29" s="8" t="inlineStr">
        <is>
          <t>SERA HQ Common Areas</t>
        </is>
      </c>
      <c r="E29" s="8" t="inlineStr">
        <is>
          <t>Coffee-themed décor, 3 stations</t>
        </is>
      </c>
      <c r="F29" s="8" t="inlineStr">
        <is>
          <t>Background music</t>
        </is>
      </c>
      <c r="G29" s="8" t="inlineStr">
        <is>
          <t>Professional barista, Arabic dallah ceremony, Coffee culture displays</t>
        </is>
      </c>
    </row>
    <row r="30">
      <c r="A30" s="4" t="n">
        <v>27</v>
      </c>
      <c r="B30" s="4" t="inlineStr">
        <is>
          <t>Breast Cancer Awareness Day</t>
        </is>
      </c>
      <c r="C30" s="5" t="inlineStr">
        <is>
          <t>Oct</t>
        </is>
      </c>
      <c r="D30" s="5" t="inlineStr">
        <is>
          <t>SERA HQ – Health zone</t>
        </is>
      </c>
      <c r="E30" s="5" t="inlineStr">
        <is>
          <t>Pink ribbon theme, awareness panels, info displays</t>
        </is>
      </c>
      <c r="F30" s="5" t="inlineStr">
        <is>
          <t>Presentation setup</t>
        </is>
      </c>
      <c r="G30" s="5" t="inlineStr">
        <is>
          <t>Healthcare expert, Screening info, Pink awareness items, Health materials</t>
        </is>
      </c>
    </row>
    <row r="31">
      <c r="A31" s="7" t="n">
        <v>28</v>
      </c>
      <c r="B31" s="7" t="inlineStr">
        <is>
          <t>Cybersecurity Exhibition</t>
        </is>
      </c>
      <c r="C31" s="8" t="inlineStr">
        <is>
          <t>Oct TBD</t>
        </is>
      </c>
      <c r="D31" s="8" t="inlineStr">
        <is>
          <t>SERA HQ / Conference Center</t>
        </is>
      </c>
      <c r="E31" s="8" t="inlineStr">
        <is>
          <t>6 interactive exhibition booths, demo stations</t>
        </is>
      </c>
      <c r="F31" s="8" t="inlineStr">
        <is>
          <t>Full conference AV, booth monitors, demo equipment</t>
        </is>
      </c>
      <c r="G31" s="8" t="inlineStr">
        <is>
          <t>6 interactive demos, 2 expert speakers, Phishing simulations, Branded giveaways</t>
        </is>
      </c>
    </row>
    <row r="32">
      <c r="A32" s="4" t="n">
        <v>29</v>
      </c>
      <c r="B32" s="4" t="inlineStr">
        <is>
          <t>World Mental Health Day</t>
        </is>
      </c>
      <c r="C32" s="5" t="inlineStr">
        <is>
          <t>Oct 10</t>
        </is>
      </c>
      <c r="D32" s="5" t="inlineStr">
        <is>
          <t>SERA HQ</t>
        </is>
      </c>
      <c r="E32" s="5" t="inlineStr">
        <is>
          <t>Wellness décor, relaxation zone</t>
        </is>
      </c>
      <c r="F32" s="5" t="inlineStr">
        <is>
          <t>Presentation setup, ambient music</t>
        </is>
      </c>
      <c r="G32" s="5" t="inlineStr">
        <is>
          <t>Psychologist speaker, Stress workshop, Relaxation zone (massage chairs), Wellness kits</t>
        </is>
      </c>
    </row>
    <row r="33">
      <c r="A33" s="7" t="n">
        <v>30</v>
      </c>
      <c r="B33" s="7" t="inlineStr">
        <is>
          <t>World Savings Day</t>
        </is>
      </c>
      <c r="C33" s="8" t="inlineStr">
        <is>
          <t>Oct 31</t>
        </is>
      </c>
      <c r="D33" s="8" t="inlineStr">
        <is>
          <t>SERA HQ – Meeting area</t>
        </is>
      </c>
      <c r="E33" s="8" t="inlineStr">
        <is>
          <t>Financial literacy displays, pledge wall</t>
        </is>
      </c>
      <c r="F33" s="8" t="inlineStr">
        <is>
          <t>Presentation setup</t>
        </is>
      </c>
      <c r="G33" s="8" t="inlineStr">
        <is>
          <t>Financial expert, Savings guides, Budget planners, Pledge wall activity</t>
        </is>
      </c>
    </row>
    <row r="34">
      <c r="A34" s="4" t="n">
        <v>31</v>
      </c>
      <c r="B34" s="4" t="inlineStr">
        <is>
          <t>Quality Day</t>
        </is>
      </c>
      <c r="C34" s="5" t="inlineStr">
        <is>
          <t>Nov 10</t>
        </is>
      </c>
      <c r="D34" s="5" t="inlineStr">
        <is>
          <t>Business Hotel Conference Room</t>
        </is>
      </c>
      <c r="E34" s="5" t="inlineStr">
        <is>
          <t>Award stage, quality showcase display</t>
        </is>
      </c>
      <c r="F34" s="5" t="inlineStr">
        <is>
          <t>Conference AV: screen, sound, podium</t>
        </is>
      </c>
      <c r="G34" s="5" t="inlineStr">
        <is>
          <t>7 quality awards, Best practices presentations, Expert speaker</t>
        </is>
      </c>
    </row>
    <row r="35">
      <c r="A35" s="7" t="n">
        <v>32</v>
      </c>
      <c r="B35" s="7" t="inlineStr">
        <is>
          <t>Flu Vaccination Campaign</t>
        </is>
      </c>
      <c r="C35" s="8" t="inlineStr">
        <is>
          <t>Nov</t>
        </is>
      </c>
      <c r="D35" s="8" t="inlineStr">
        <is>
          <t>SERA HQ – Medical area</t>
        </is>
      </c>
      <c r="E35" s="8" t="inlineStr">
        <is>
          <t>Health campaign setup, vaccination stations</t>
        </is>
      </c>
      <c r="F35" s="8" t="inlineStr">
        <is>
          <t>Digital awareness screens</t>
        </is>
      </c>
      <c r="G35" s="8" t="inlineStr">
        <is>
          <t>Medical staff, Vaccination logistics, Pre-campaign awareness, Participant gifts</t>
        </is>
      </c>
    </row>
    <row r="36">
      <c r="A36" s="4" t="n">
        <v>33</v>
      </c>
      <c r="B36" s="4" t="inlineStr">
        <is>
          <t>World Diabetes Day</t>
        </is>
      </c>
      <c r="C36" s="5" t="inlineStr">
        <is>
          <t>Nov 14</t>
        </is>
      </c>
      <c r="D36" s="5" t="inlineStr">
        <is>
          <t>SERA HQ – Health zone</t>
        </is>
      </c>
      <c r="E36" s="5" t="inlineStr">
        <is>
          <t>Blue circle theme, diabetes awareness panels</t>
        </is>
      </c>
      <c r="F36" s="5" t="inlineStr">
        <is>
          <t>Presentation setup</t>
        </is>
      </c>
      <c r="G36" s="5" t="inlineStr">
        <is>
          <t>Endocrinologist speaker, Blood sugar screening, Health materials, Blue awareness items</t>
        </is>
      </c>
    </row>
    <row r="37">
      <c r="A37" s="7" t="n">
        <v>34</v>
      </c>
      <c r="B37" s="7" t="inlineStr">
        <is>
          <t>International Men's Day</t>
        </is>
      </c>
      <c r="C37" s="8" t="inlineStr">
        <is>
          <t>Nov 19</t>
        </is>
      </c>
      <c r="D37" s="8" t="inlineStr">
        <is>
          <t>Event space</t>
        </is>
      </c>
      <c r="E37" s="8" t="inlineStr">
        <is>
          <t>Celebration décor, activity area</t>
        </is>
      </c>
      <c r="F37" s="8" t="inlineStr">
        <is>
          <t>Sound system</t>
        </is>
      </c>
      <c r="G37" s="8" t="inlineStr">
        <is>
          <t>Team competitions, Recognition gifts</t>
        </is>
      </c>
    </row>
    <row r="38">
      <c r="A38" s="4" t="n">
        <v>35</v>
      </c>
      <c r="B38" s="4" t="inlineStr">
        <is>
          <t>Universal Children's Day</t>
        </is>
      </c>
      <c r="C38" s="5" t="inlineStr">
        <is>
          <t>Nov 20</t>
        </is>
      </c>
      <c r="D38" s="5" t="inlineStr">
        <is>
          <t>Family entertainment venue</t>
        </is>
      </c>
      <c r="E38" s="5" t="inlineStr">
        <is>
          <t>Colorful child-friendly décor, safe play areas</t>
        </is>
      </c>
      <c r="F38" s="5" t="inlineStr">
        <is>
          <t>Sound for entertainment</t>
        </is>
      </c>
      <c r="G38" s="5" t="inlineStr">
        <is>
          <t>Professional children's entertainers, Game stations, Gifts for kids</t>
        </is>
      </c>
    </row>
    <row r="39">
      <c r="A39" s="7" t="n">
        <v>36</v>
      </c>
      <c r="B39" s="7" t="inlineStr">
        <is>
          <t>Volunteer Day</t>
        </is>
      </c>
      <c r="C39" s="8" t="inlineStr">
        <is>
          <t>Dec 5</t>
        </is>
      </c>
      <c r="D39" s="8" t="inlineStr">
        <is>
          <t>Community location</t>
        </is>
      </c>
      <c r="E39" s="8" t="inlineStr">
        <is>
          <t>Branded volunteer banner/signage</t>
        </is>
      </c>
      <c r="F39" s="8" t="inlineStr">
        <is>
          <t>None needed</t>
        </is>
      </c>
      <c r="G39" s="8" t="inlineStr">
        <is>
          <t>2 buses transport, Volunteer T-shirts, Activity supplies, Lunch boxes</t>
        </is>
      </c>
    </row>
    <row r="40">
      <c r="A40" s="4" t="n">
        <v>37</v>
      </c>
      <c r="B40" s="4" t="inlineStr">
        <is>
          <t>Anti-Corruption Day</t>
        </is>
      </c>
      <c r="C40" s="5" t="inlineStr">
        <is>
          <t>Dec 9</t>
        </is>
      </c>
      <c r="D40" s="5" t="inlineStr">
        <is>
          <t>SERA HQ</t>
        </is>
      </c>
      <c r="E40" s="5" t="inlineStr">
        <is>
          <t>Integrity pledge wall, information displays</t>
        </is>
      </c>
      <c r="F40" s="5" t="inlineStr">
        <is>
          <t>Presentation AV</t>
        </is>
      </c>
      <c r="G40" s="5" t="inlineStr">
        <is>
          <t>Ethics expert/Nazaha speaker, Pledge signing, Awareness brochures</t>
        </is>
      </c>
    </row>
    <row r="41">
      <c r="A41" s="7" t="n">
        <v>38</v>
      </c>
      <c r="B41" s="7" t="inlineStr">
        <is>
          <t>Transformation Activities</t>
        </is>
      </c>
      <c r="C41" s="8" t="inlineStr">
        <is>
          <t>Q4 TBD</t>
        </is>
      </c>
      <c r="D41" s="8" t="inlineStr">
        <is>
          <t>SERA HQ – Exhibition area</t>
        </is>
      </c>
      <c r="E41" s="8" t="inlineStr">
        <is>
          <t>Digital transformation displays, innovation showcases</t>
        </is>
      </c>
      <c r="F41" s="8" t="inlineStr">
        <is>
          <t>Full AV, interactive screens</t>
        </is>
      </c>
      <c r="G41" s="8" t="inlineStr">
        <is>
          <t>Expert panels, Transformation workshops, Design thinking activities</t>
        </is>
      </c>
    </row>
    <row r="42">
      <c r="A42" s="4" t="n">
        <v>39</v>
      </c>
      <c r="B42" s="4" t="inlineStr">
        <is>
          <t>Ideal Office Competition</t>
        </is>
      </c>
      <c r="C42" s="5" t="inlineStr">
        <is>
          <t>Q4 TBD</t>
        </is>
      </c>
      <c r="D42" s="5" t="inlineStr">
        <is>
          <t>SERA HQ – All offices</t>
        </is>
      </c>
      <c r="E42" s="5" t="inlineStr">
        <is>
          <t>Competition banners, evaluation signage</t>
        </is>
      </c>
      <c r="F42" s="5" t="inlineStr">
        <is>
          <t>Basic AV for ceremony</t>
        </is>
      </c>
      <c r="G42" s="5" t="inlineStr">
        <is>
          <t>Evaluation program, Judging panel, Award ceremony, Trophies</t>
        </is>
      </c>
    </row>
    <row r="43">
      <c r="A43" s="7" t="n">
        <v>40</v>
      </c>
      <c r="B43" s="7" t="inlineStr">
        <is>
          <t>Arabic Language Day</t>
        </is>
      </c>
      <c r="C43" s="8" t="inlineStr">
        <is>
          <t>Dec 18</t>
        </is>
      </c>
      <c r="D43" s="8" t="inlineStr">
        <is>
          <t>Cultural venue</t>
        </is>
      </c>
      <c r="E43" s="8" t="inlineStr">
        <is>
          <t>Arabic calligraphy displays, poetry corner</t>
        </is>
      </c>
      <c r="F43" s="8" t="inlineStr">
        <is>
          <t>Presentation + ambient Arabic music</t>
        </is>
      </c>
      <c r="G43" s="8" t="inlineStr">
        <is>
          <t>Poet guest, Calligraphy workshop, Poetry recital, Cultural program</t>
        </is>
      </c>
    </row>
    <row r="44">
      <c r="A44" s="4" t="n">
        <v>41</v>
      </c>
      <c r="B44" s="4" t="inlineStr">
        <is>
          <t>Year-End Celebration</t>
        </is>
      </c>
      <c r="C44" s="5" t="inlineStr">
        <is>
          <t>Late Dec</t>
        </is>
      </c>
      <c r="D44" s="5" t="inlineStr">
        <is>
          <t>5-Star Hotel – Premium Gala</t>
        </is>
      </c>
      <c r="E44" s="5" t="inlineStr">
        <is>
          <t>Premium stage, LED lighting design, luxury tables</t>
        </is>
      </c>
      <c r="F44" s="5" t="inlineStr">
        <is>
          <t>Full gala: LED wall, concert sound, designer lighting</t>
        </is>
      </c>
      <c r="G44" s="5" t="inlineStr">
        <is>
          <t>Premium band + acts, 15 annual awards, Year-review video, Premium gifts, Prof. MC. BOOK 3 MONTHS AHEAD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332"/>
    <outlinePr summaryBelow="1" summaryRight="1"/>
    <pageSetUpPr/>
  </sheetPr>
  <dimension ref="A1:F6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2" customWidth="1" min="1" max="1"/>
    <col width="16" customWidth="1" min="2" max="2"/>
    <col width="8" customWidth="1" min="3" max="3"/>
    <col width="18" customWidth="1" min="4" max="4"/>
    <col width="20" customWidth="1" min="5" max="5"/>
    <col width="55" customWidth="1" min="6" max="6"/>
  </cols>
  <sheetData>
    <row r="1">
      <c r="A1" s="1" t="inlineStr">
        <is>
          <t>SERA 2026 — FINANCIAL PROPOSAL (DETAILED COST BREAKDOWN)</t>
        </is>
      </c>
    </row>
    <row r="2">
      <c r="A2" s="2" t="inlineStr">
        <is>
          <t>Saudi Electricity Regulatory Authority | Currency: SAR | All Prices EXCLUDE 15% VAT | Agency Commission: 15%</t>
        </is>
      </c>
    </row>
    <row r="5">
      <c r="A5" s="1" t="inlineStr">
        <is>
          <t>Q1 EVENTS</t>
        </is>
      </c>
    </row>
    <row r="6">
      <c r="A6" s="21" t="inlineStr">
        <is>
          <t>EVENT 1: Annual Meeting 2026 | Date: February 3 | Attendance: 300 | 5-Star Hotel Ballroom</t>
        </is>
      </c>
    </row>
    <row r="7">
      <c r="A7" s="3" t="inlineStr">
        <is>
          <t>Cost Item</t>
        </is>
      </c>
      <c r="B7" s="3" t="inlineStr">
        <is>
          <t>Unit</t>
        </is>
      </c>
      <c r="C7" s="3" t="inlineStr">
        <is>
          <t>Qty</t>
        </is>
      </c>
      <c r="D7" s="3" t="inlineStr">
        <is>
          <t>Unit Price (SAR)</t>
        </is>
      </c>
      <c r="E7" s="3" t="inlineStr">
        <is>
          <t>Total (SAR)</t>
        </is>
      </c>
      <c r="F7" s="3" t="inlineStr">
        <is>
          <t>Notes</t>
        </is>
      </c>
    </row>
    <row r="8">
      <c r="A8" s="4" t="inlineStr">
        <is>
          <t>Venue Rental (5-star ballroom, full day)</t>
        </is>
      </c>
      <c r="B8" s="5" t="inlineStr">
        <is>
          <t>Full day</t>
        </is>
      </c>
      <c r="C8" s="5" t="n">
        <v>1</v>
      </c>
      <c r="D8" s="22" t="n">
        <v>58000</v>
      </c>
      <c r="E8" s="23">
        <f>C8*D8</f>
        <v/>
      </c>
      <c r="F8" s="24" t="inlineStr">
        <is>
          <t>Ritz-Carlton / Four Seasons / Fairmont</t>
        </is>
      </c>
    </row>
    <row r="9">
      <c r="A9" s="7" t="inlineStr">
        <is>
          <t>Catering – Premium Lunch Buffet</t>
        </is>
      </c>
      <c r="B9" s="8" t="inlineStr">
        <is>
          <t>Per person</t>
        </is>
      </c>
      <c r="C9" s="8" t="n">
        <v>300</v>
      </c>
      <c r="D9" s="25" t="n">
        <v>270</v>
      </c>
      <c r="E9" s="26">
        <f>C9*D9</f>
        <v/>
      </c>
      <c r="F9" s="27" t="inlineStr">
        <is>
          <t>Premium hotel buffet, 10+ items, live stations</t>
        </is>
      </c>
    </row>
    <row r="10">
      <c r="A10" s="4" t="inlineStr">
        <is>
          <t>Catering – 2x Coffee Breaks</t>
        </is>
      </c>
      <c r="B10" s="5" t="inlineStr">
        <is>
          <t>Per person</t>
        </is>
      </c>
      <c r="C10" s="5" t="n">
        <v>300</v>
      </c>
      <c r="D10" s="22" t="n">
        <v>65</v>
      </c>
      <c r="E10" s="23">
        <f>C10*D10</f>
        <v/>
      </c>
      <c r="F10" s="24" t="inlineStr">
        <is>
          <t>Morning + afternoon break, premium selection</t>
        </is>
      </c>
    </row>
    <row r="11">
      <c r="A11" s="7" t="inlineStr">
        <is>
          <t>Stage &amp; Branded Backdrop (8m x 5m)</t>
        </is>
      </c>
      <c r="B11" s="8" t="inlineStr">
        <is>
          <t>Package</t>
        </is>
      </c>
      <c r="C11" s="8" t="n">
        <v>1</v>
      </c>
      <c r="D11" s="25" t="n">
        <v>24000</v>
      </c>
      <c r="E11" s="26">
        <f>C11*D11</f>
        <v/>
      </c>
      <c r="F11" s="27" t="inlineStr">
        <is>
          <t>Custom SERA branded, modular stage</t>
        </is>
      </c>
    </row>
    <row r="12">
      <c r="A12" s="4" t="inlineStr">
        <is>
          <t>LED Video Wall (P2.5, 5m x 3m)</t>
        </is>
      </c>
      <c r="B12" s="5" t="inlineStr">
        <is>
          <t>Rental</t>
        </is>
      </c>
      <c r="C12" s="5" t="n">
        <v>1</v>
      </c>
      <c r="D12" s="22" t="n">
        <v>18000</v>
      </c>
      <c r="E12" s="23">
        <f>C12*D12</f>
        <v/>
      </c>
      <c r="F12" s="24" t="inlineStr">
        <is>
          <t>With dedicated operator</t>
        </is>
      </c>
    </row>
    <row r="13">
      <c r="A13" s="7" t="inlineStr">
        <is>
          <t>Professional Sound System (Line Array)</t>
        </is>
      </c>
      <c r="B13" s="8" t="inlineStr">
        <is>
          <t>Package</t>
        </is>
      </c>
      <c r="C13" s="8" t="n">
        <v>1</v>
      </c>
      <c r="D13" s="25" t="n">
        <v>12000</v>
      </c>
      <c r="E13" s="26">
        <f>C13*D13</f>
        <v/>
      </c>
      <c r="F13" s="27" t="inlineStr">
        <is>
          <t>Concert-grade + 6 wireless mics + monitors</t>
        </is>
      </c>
    </row>
    <row r="14">
      <c r="A14" s="4" t="inlineStr">
        <is>
          <t>Simultaneous Translation (AR/EN)</t>
        </is>
      </c>
      <c r="B14" s="5" t="inlineStr">
        <is>
          <t>Package</t>
        </is>
      </c>
      <c r="C14" s="5" t="n">
        <v>1</v>
      </c>
      <c r="D14" s="22" t="n">
        <v>18000</v>
      </c>
      <c r="E14" s="23">
        <f>C14*D14</f>
        <v/>
      </c>
      <c r="F14" s="24" t="inlineStr">
        <is>
          <t>2 interpreters + booth + headsets for 300</t>
        </is>
      </c>
    </row>
    <row r="15">
      <c r="A15" s="7" t="inlineStr">
        <is>
          <t>Professional Photography (2 photographers)</t>
        </is>
      </c>
      <c r="B15" s="8" t="inlineStr">
        <is>
          <t>Full day</t>
        </is>
      </c>
      <c r="C15" s="8" t="n">
        <v>1</v>
      </c>
      <c r="D15" s="25" t="n">
        <v>8000</v>
      </c>
      <c r="E15" s="26">
        <f>C15*D15</f>
        <v/>
      </c>
      <c r="F15" s="27" t="inlineStr">
        <is>
          <t>500+ edited high-res photos, 3-day delivery</t>
        </is>
      </c>
    </row>
    <row r="16">
      <c r="A16" s="4" t="inlineStr">
        <is>
          <t>Professional Videography (2 cameras)</t>
        </is>
      </c>
      <c r="B16" s="5" t="inlineStr">
        <is>
          <t>Full day</t>
        </is>
      </c>
      <c r="C16" s="5" t="n">
        <v>1</v>
      </c>
      <c r="D16" s="22" t="n">
        <v>12000</v>
      </c>
      <c r="E16" s="23">
        <f>C16*D16</f>
        <v/>
      </c>
      <c r="F16" s="24" t="inlineStr">
        <is>
          <t>5-min highlight + full event recording, 4K</t>
        </is>
      </c>
    </row>
    <row r="17">
      <c r="A17" s="7" t="inlineStr">
        <is>
          <t>Registration System &amp; Name Badges</t>
        </is>
      </c>
      <c r="B17" s="8" t="inlineStr">
        <is>
          <t>Package</t>
        </is>
      </c>
      <c r="C17" s="8" t="n">
        <v>1</v>
      </c>
      <c r="D17" s="25" t="n">
        <v>6500</v>
      </c>
      <c r="E17" s="26">
        <f>C17*D17</f>
        <v/>
      </c>
      <c r="F17" s="27" t="inlineStr">
        <is>
          <t>Digital QR check-in + printed badges + app</t>
        </is>
      </c>
    </row>
    <row r="18">
      <c r="A18" s="4" t="inlineStr">
        <is>
          <t>Printed Materials (agenda, notepad, pen)</t>
        </is>
      </c>
      <c r="B18" s="5" t="inlineStr">
        <is>
          <t>Per person</t>
        </is>
      </c>
      <c r="C18" s="5" t="n">
        <v>300</v>
      </c>
      <c r="D18" s="22" t="n">
        <v>45</v>
      </c>
      <c r="E18" s="23">
        <f>C18*D18</f>
        <v/>
      </c>
      <c r="F18" s="24" t="inlineStr">
        <is>
          <t>Premium branded stationery set</t>
        </is>
      </c>
    </row>
    <row r="19">
      <c r="A19" s="7" t="inlineStr">
        <is>
          <t>Professional MC (Bilingual AR/EN)</t>
        </is>
      </c>
      <c r="B19" s="8" t="inlineStr">
        <is>
          <t>Full event</t>
        </is>
      </c>
      <c r="C19" s="8" t="n">
        <v>1</v>
      </c>
      <c r="D19" s="25" t="n">
        <v>10000</v>
      </c>
      <c r="E19" s="26">
        <f>C19*D19</f>
        <v/>
      </c>
      <c r="F19" s="27" t="inlineStr">
        <is>
          <t>Experienced corporate MC</t>
        </is>
      </c>
    </row>
    <row r="20">
      <c r="A20" s="4" t="inlineStr">
        <is>
          <t>Event Branding &amp; Design</t>
        </is>
      </c>
      <c r="B20" s="5" t="inlineStr">
        <is>
          <t>Package</t>
        </is>
      </c>
      <c r="C20" s="5" t="n">
        <v>1</v>
      </c>
      <c r="D20" s="22" t="n">
        <v>15000</v>
      </c>
      <c r="E20" s="23">
        <f>C20*D20</f>
        <v/>
      </c>
      <c r="F20" s="24" t="inlineStr">
        <is>
          <t>All materials design, backdrop, badges, agenda, social media kit</t>
        </is>
      </c>
    </row>
    <row r="21">
      <c r="A21" s="7" t="inlineStr">
        <is>
          <t>Welcome Lounge &amp; VIP Hospitality</t>
        </is>
      </c>
      <c r="B21" s="8" t="inlineStr">
        <is>
          <t>Package</t>
        </is>
      </c>
      <c r="C21" s="8" t="n">
        <v>1</v>
      </c>
      <c r="D21" s="25" t="n">
        <v>12000</v>
      </c>
      <c r="E21" s="26">
        <f>C21*D21</f>
        <v/>
      </c>
      <c r="F21" s="27" t="inlineStr">
        <is>
          <t>VIP reception area with premium refreshments</t>
        </is>
      </c>
    </row>
    <row r="22">
      <c r="A22" s="11" t="inlineStr">
        <is>
          <t>Subtotal (Before Commission)</t>
        </is>
      </c>
      <c r="B22" s="15" t="n"/>
      <c r="C22" s="15" t="n"/>
      <c r="D22" s="15" t="n"/>
      <c r="E22" s="13">
        <f>SUM(E8:E21)</f>
        <v/>
      </c>
      <c r="F22" s="15" t="n"/>
    </row>
    <row r="23">
      <c r="A23" s="11" t="inlineStr">
        <is>
          <t>Agency Commission (15%)</t>
        </is>
      </c>
      <c r="B23" s="12" t="inlineStr">
        <is>
          <t>15%</t>
        </is>
      </c>
      <c r="C23" s="15" t="n"/>
      <c r="D23" s="15" t="n"/>
      <c r="E23" s="13">
        <f>E22*0.15</f>
        <v/>
      </c>
      <c r="F23" s="28" t="inlineStr">
        <is>
          <t>Agency management, planning &amp; execution fee</t>
        </is>
      </c>
    </row>
    <row r="24">
      <c r="A24" s="29" t="inlineStr">
        <is>
          <t>▶ EVENT 1: Annual Meeting 2026 – TOTAL</t>
        </is>
      </c>
      <c r="B24" s="29" t="n"/>
      <c r="C24" s="29" t="n"/>
      <c r="D24" s="29" t="n"/>
      <c r="E24" s="30">
        <f>E22+E23</f>
        <v/>
      </c>
      <c r="F24" s="29" t="n"/>
    </row>
    <row r="26">
      <c r="A26" s="21" t="inlineStr">
        <is>
          <t>EVENT 2: Founding Day (يوم التأسيس) | Date: February 22 | Attendance: 300 | SERA HQ</t>
        </is>
      </c>
    </row>
    <row r="27">
      <c r="A27" s="3" t="inlineStr">
        <is>
          <t>Cost Item</t>
        </is>
      </c>
      <c r="B27" s="3" t="inlineStr">
        <is>
          <t>Unit</t>
        </is>
      </c>
      <c r="C27" s="3" t="inlineStr">
        <is>
          <t>Qty</t>
        </is>
      </c>
      <c r="D27" s="3" t="inlineStr">
        <is>
          <t>Unit Price (SAR)</t>
        </is>
      </c>
      <c r="E27" s="3" t="inlineStr">
        <is>
          <t>Total (SAR)</t>
        </is>
      </c>
      <c r="F27" s="3" t="inlineStr">
        <is>
          <t>Notes</t>
        </is>
      </c>
    </row>
    <row r="28">
      <c r="A28" s="4" t="inlineStr">
        <is>
          <t>Venue</t>
        </is>
      </c>
      <c r="B28" s="5" t="inlineStr">
        <is>
          <t>SERA HQ</t>
        </is>
      </c>
      <c r="C28" s="5" t="n">
        <v>1</v>
      </c>
      <c r="D28" s="22" t="n">
        <v>0</v>
      </c>
      <c r="E28" s="23">
        <f>C28*D28</f>
        <v/>
      </c>
      <c r="F28" s="24" t="inlineStr">
        <is>
          <t>Internal – no rental cost</t>
        </is>
      </c>
    </row>
    <row r="29">
      <c r="A29" s="7" t="inlineStr">
        <is>
          <t>National Décor &amp; Heritage Displays</t>
        </is>
      </c>
      <c r="B29" s="8" t="inlineStr">
        <is>
          <t>Package</t>
        </is>
      </c>
      <c r="C29" s="8" t="n">
        <v>1</v>
      </c>
      <c r="D29" s="25" t="n">
        <v>14000</v>
      </c>
      <c r="E29" s="26">
        <f>C29*D29</f>
        <v/>
      </c>
      <c r="F29" s="27" t="inlineStr">
        <is>
          <t>Founding Day theme, heritage artifacts, timeline display</t>
        </is>
      </c>
    </row>
    <row r="30">
      <c r="A30" s="4" t="inlineStr">
        <is>
          <t>Sound System Rental</t>
        </is>
      </c>
      <c r="B30" s="5" t="inlineStr">
        <is>
          <t>Rental</t>
        </is>
      </c>
      <c r="C30" s="5" t="n">
        <v>1</v>
      </c>
      <c r="D30" s="22" t="n">
        <v>5000</v>
      </c>
      <c r="E30" s="23">
        <f>C30*D30</f>
        <v/>
      </c>
      <c r="F30" s="24" t="inlineStr">
        <is>
          <t>For national anthem + speeches + ambient</t>
        </is>
      </c>
    </row>
    <row r="31">
      <c r="A31" s="7" t="inlineStr">
        <is>
          <t>Commemorative Items (badges, pins, flags)</t>
        </is>
      </c>
      <c r="B31" s="8" t="inlineStr">
        <is>
          <t>Per person</t>
        </is>
      </c>
      <c r="C31" s="8" t="n">
        <v>300</v>
      </c>
      <c r="D31" s="25" t="n">
        <v>42</v>
      </c>
      <c r="E31" s="26">
        <f>C31*D31</f>
        <v/>
      </c>
      <c r="F31" s="27" t="inlineStr">
        <is>
          <t>Custom SERA + Founding Day branding</t>
        </is>
      </c>
    </row>
    <row r="32">
      <c r="A32" s="4" t="inlineStr">
        <is>
          <t>Light Refreshments (Traditional Saudi)</t>
        </is>
      </c>
      <c r="B32" s="5" t="inlineStr">
        <is>
          <t>Per person</t>
        </is>
      </c>
      <c r="C32" s="5" t="n">
        <v>300</v>
      </c>
      <c r="D32" s="22" t="n">
        <v>55</v>
      </c>
      <c r="E32" s="23">
        <f>C32*D32</f>
        <v/>
      </c>
      <c r="F32" s="24" t="inlineStr">
        <is>
          <t>Arabic coffee, dates, Saudi heritage sweets</t>
        </is>
      </c>
    </row>
    <row r="33">
      <c r="A33" s="7" t="inlineStr">
        <is>
          <t>Photography</t>
        </is>
      </c>
      <c r="B33" s="8" t="inlineStr">
        <is>
          <t>3 hours</t>
        </is>
      </c>
      <c r="C33" s="8" t="n">
        <v>1</v>
      </c>
      <c r="D33" s="25" t="n">
        <v>4000</v>
      </c>
      <c r="E33" s="26">
        <f>C33*D33</f>
        <v/>
      </c>
      <c r="F33" s="27" t="inlineStr">
        <is>
          <t>Event documentation</t>
        </is>
      </c>
    </row>
    <row r="34">
      <c r="A34" s="4" t="inlineStr">
        <is>
          <t>Social Media Live Coverage</t>
        </is>
      </c>
      <c r="B34" s="5" t="inlineStr">
        <is>
          <t>Package</t>
        </is>
      </c>
      <c r="C34" s="5" t="n">
        <v>1</v>
      </c>
      <c r="D34" s="22" t="n">
        <v>4500</v>
      </c>
      <c r="E34" s="23">
        <f>C34*D34</f>
        <v/>
      </c>
      <c r="F34" s="24" t="inlineStr">
        <is>
          <t>Real-time posts + stories + reels</t>
        </is>
      </c>
    </row>
    <row r="35">
      <c r="A35" s="7" t="inlineStr">
        <is>
          <t>Event Branding &amp; Design</t>
        </is>
      </c>
      <c r="B35" s="8" t="inlineStr">
        <is>
          <t>Package</t>
        </is>
      </c>
      <c r="C35" s="8" t="n">
        <v>1</v>
      </c>
      <c r="D35" s="25" t="n">
        <v>14000</v>
      </c>
      <c r="E35" s="26">
        <f>C35*D35</f>
        <v/>
      </c>
      <c r="F35" s="27" t="inlineStr">
        <is>
          <t>Heritage-themed signage, displays, social media kit</t>
        </is>
      </c>
    </row>
    <row r="36">
      <c r="A36" s="11" t="inlineStr">
        <is>
          <t>Subtotal (Before Commission)</t>
        </is>
      </c>
      <c r="B36" s="15" t="n"/>
      <c r="C36" s="15" t="n"/>
      <c r="D36" s="15" t="n"/>
      <c r="E36" s="13">
        <f>SUM(E28:E35)</f>
        <v/>
      </c>
      <c r="F36" s="15" t="n"/>
    </row>
    <row r="37">
      <c r="A37" s="11" t="inlineStr">
        <is>
          <t>Agency Commission (15%)</t>
        </is>
      </c>
      <c r="B37" s="12" t="inlineStr">
        <is>
          <t>15%</t>
        </is>
      </c>
      <c r="C37" s="15" t="n"/>
      <c r="D37" s="15" t="n"/>
      <c r="E37" s="13">
        <f>E36*0.15</f>
        <v/>
      </c>
      <c r="F37" s="28" t="inlineStr">
        <is>
          <t>Agency management, planning &amp; execution fee</t>
        </is>
      </c>
    </row>
    <row r="38">
      <c r="A38" s="29" t="inlineStr">
        <is>
          <t>▶ EVENT 2: Founding Day (يوم التأسيس) – TOTAL</t>
        </is>
      </c>
      <c r="B38" s="29" t="n"/>
      <c r="C38" s="29" t="n"/>
      <c r="D38" s="29" t="n"/>
      <c r="E38" s="30">
        <f>E36+E37</f>
        <v/>
      </c>
      <c r="F38" s="29" t="n"/>
    </row>
    <row r="40">
      <c r="A40" s="21" t="inlineStr">
        <is>
          <t>EVENT 3: Employee Appreciation Day | Date: March 2 | Attendance: 300 | 5-Star Hotel – Evening Gala</t>
        </is>
      </c>
    </row>
    <row r="41">
      <c r="A41" s="3" t="inlineStr">
        <is>
          <t>Cost Item</t>
        </is>
      </c>
      <c r="B41" s="3" t="inlineStr">
        <is>
          <t>Unit</t>
        </is>
      </c>
      <c r="C41" s="3" t="inlineStr">
        <is>
          <t>Qty</t>
        </is>
      </c>
      <c r="D41" s="3" t="inlineStr">
        <is>
          <t>Unit Price (SAR)</t>
        </is>
      </c>
      <c r="E41" s="3" t="inlineStr">
        <is>
          <t>Total (SAR)</t>
        </is>
      </c>
      <c r="F41" s="3" t="inlineStr">
        <is>
          <t>Notes</t>
        </is>
      </c>
    </row>
    <row r="42">
      <c r="A42" s="4" t="inlineStr">
        <is>
          <t>Venue Rental (Gala table setup)</t>
        </is>
      </c>
      <c r="B42" s="5" t="inlineStr">
        <is>
          <t>Evening</t>
        </is>
      </c>
      <c r="C42" s="5" t="n">
        <v>1</v>
      </c>
      <c r="D42" s="22" t="n">
        <v>52000</v>
      </c>
      <c r="E42" s="23">
        <f>C42*D42</f>
        <v/>
      </c>
      <c r="F42" s="24" t="inlineStr">
        <is>
          <t>Ballroom with round-table gala setup</t>
        </is>
      </c>
    </row>
    <row r="43">
      <c r="A43" s="7" t="inlineStr">
        <is>
          <t>Catering – Gala Dinner (3-course plated)</t>
        </is>
      </c>
      <c r="B43" s="8" t="inlineStr">
        <is>
          <t>Per person</t>
        </is>
      </c>
      <c r="C43" s="8" t="n">
        <v>300</v>
      </c>
      <c r="D43" s="25" t="n">
        <v>330</v>
      </c>
      <c r="E43" s="26">
        <f>C43*D43</f>
        <v/>
      </c>
      <c r="F43" s="27" t="inlineStr">
        <is>
          <t>Premium plated service + welcome drinks + dessert bar</t>
        </is>
      </c>
    </row>
    <row r="44">
      <c r="A44" s="4" t="inlineStr">
        <is>
          <t>Live Band Entertainment</t>
        </is>
      </c>
      <c r="B44" s="5" t="inlineStr">
        <is>
          <t>Package</t>
        </is>
      </c>
      <c r="C44" s="5" t="n">
        <v>1</v>
      </c>
      <c r="D44" s="22" t="n">
        <v>22000</v>
      </c>
      <c r="E44" s="23">
        <f>C44*D44</f>
        <v/>
      </c>
      <c r="F44" s="24" t="inlineStr">
        <is>
          <t>Professional band, 2.5-hour set</t>
        </is>
      </c>
    </row>
    <row r="45">
      <c r="A45" s="7" t="inlineStr">
        <is>
          <t>Stage, Gala Décor &amp; Lighting Design</t>
        </is>
      </c>
      <c r="B45" s="8" t="inlineStr">
        <is>
          <t>Package</t>
        </is>
      </c>
      <c r="C45" s="8" t="n">
        <v>1</v>
      </c>
      <c r="D45" s="25" t="n">
        <v>35000</v>
      </c>
      <c r="E45" s="26">
        <f>C45*D45</f>
        <v/>
      </c>
      <c r="F45" s="27" t="inlineStr">
        <is>
          <t>Premium gala theme, centerpieces, uplighting, LED features</t>
        </is>
      </c>
    </row>
    <row r="46">
      <c r="A46" s="4" t="inlineStr">
        <is>
          <t>Awards &amp; Crystal Trophies</t>
        </is>
      </c>
      <c r="B46" s="5" t="inlineStr">
        <is>
          <t>Set of 12</t>
        </is>
      </c>
      <c r="C46" s="5" t="n">
        <v>1</v>
      </c>
      <c r="D46" s="22" t="n">
        <v>12000</v>
      </c>
      <c r="E46" s="23">
        <f>C46*D46</f>
        <v/>
      </c>
      <c r="F46" s="24" t="inlineStr">
        <is>
          <t>12 crystal trophies + certificates + frames + award video</t>
        </is>
      </c>
    </row>
    <row r="47">
      <c r="A47" s="7" t="inlineStr">
        <is>
          <t>Photography &amp; Videography (Full team)</t>
        </is>
      </c>
      <c r="B47" s="8" t="inlineStr">
        <is>
          <t>Package</t>
        </is>
      </c>
      <c r="C47" s="8" t="n">
        <v>1</v>
      </c>
      <c r="D47" s="25" t="n">
        <v>16000</v>
      </c>
      <c r="E47" s="26">
        <f>C47*D47</f>
        <v/>
      </c>
      <c r="F47" s="27" t="inlineStr">
        <is>
          <t>2 photo + 2 video, highlight reel + same-day preview</t>
        </is>
      </c>
    </row>
    <row r="48">
      <c r="A48" s="4" t="inlineStr">
        <is>
          <t>Employee Gift Boxes</t>
        </is>
      </c>
      <c r="B48" s="5" t="inlineStr">
        <is>
          <t>Per person</t>
        </is>
      </c>
      <c r="C48" s="5" t="n">
        <v>300</v>
      </c>
      <c r="D48" s="22" t="n">
        <v>110</v>
      </c>
      <c r="E48" s="23">
        <f>C48*D48</f>
        <v/>
      </c>
      <c r="F48" s="24" t="inlineStr">
        <is>
          <t>Premium appreciation gift set with personalized item</t>
        </is>
      </c>
    </row>
    <row r="49">
      <c r="A49" s="7" t="inlineStr">
        <is>
          <t>Professional MC</t>
        </is>
      </c>
      <c r="B49" s="8" t="inlineStr">
        <is>
          <t>Full event</t>
        </is>
      </c>
      <c r="C49" s="8" t="n">
        <v>1</v>
      </c>
      <c r="D49" s="25" t="n">
        <v>10000</v>
      </c>
      <c r="E49" s="26">
        <f>C49*D49</f>
        <v/>
      </c>
      <c r="F49" s="27" t="inlineStr">
        <is>
          <t>Gala host</t>
        </is>
      </c>
    </row>
    <row r="50">
      <c r="A50" s="4" t="inlineStr">
        <is>
          <t>Event Branding &amp; Design</t>
        </is>
      </c>
      <c r="B50" s="5" t="inlineStr">
        <is>
          <t>Package</t>
        </is>
      </c>
      <c r="C50" s="5" t="n">
        <v>1</v>
      </c>
      <c r="D50" s="22" t="n">
        <v>15000</v>
      </c>
      <c r="E50" s="23">
        <f>C50*D50</f>
        <v/>
      </c>
      <c r="F50" s="24" t="inlineStr">
        <is>
          <t>Invitations, backdrop, table cards, menu cards, signage, social media</t>
        </is>
      </c>
    </row>
    <row r="51">
      <c r="A51" s="11" t="inlineStr">
        <is>
          <t>Subtotal (Before Commission)</t>
        </is>
      </c>
      <c r="B51" s="15" t="n"/>
      <c r="C51" s="15" t="n"/>
      <c r="D51" s="15" t="n"/>
      <c r="E51" s="13">
        <f>SUM(E42:E50)</f>
        <v/>
      </c>
      <c r="F51" s="15" t="n"/>
    </row>
    <row r="52">
      <c r="A52" s="11" t="inlineStr">
        <is>
          <t>Agency Commission (15%)</t>
        </is>
      </c>
      <c r="B52" s="12" t="inlineStr">
        <is>
          <t>15%</t>
        </is>
      </c>
      <c r="C52" s="15" t="n"/>
      <c r="D52" s="15" t="n"/>
      <c r="E52" s="13">
        <f>E51*0.15</f>
        <v/>
      </c>
      <c r="F52" s="28" t="inlineStr">
        <is>
          <t>Agency management, planning &amp; execution fee</t>
        </is>
      </c>
    </row>
    <row r="53">
      <c r="A53" s="29" t="inlineStr">
        <is>
          <t>▶ EVENT 3: Employee Appreciation Day – TOTAL</t>
        </is>
      </c>
      <c r="B53" s="29" t="n"/>
      <c r="C53" s="29" t="n"/>
      <c r="D53" s="29" t="n"/>
      <c r="E53" s="30">
        <f>E51+E52</f>
        <v/>
      </c>
      <c r="F53" s="29" t="n"/>
    </row>
    <row r="55">
      <c r="A55" s="21" t="inlineStr">
        <is>
          <t>EVENT 4: International Women's Day | Date: March 8 | Attendance: 150 | Boutique Venue – Ladies Only</t>
        </is>
      </c>
    </row>
    <row r="56">
      <c r="A56" s="3" t="inlineStr">
        <is>
          <t>Cost Item</t>
        </is>
      </c>
      <c r="B56" s="3" t="inlineStr">
        <is>
          <t>Unit</t>
        </is>
      </c>
      <c r="C56" s="3" t="inlineStr">
        <is>
          <t>Qty</t>
        </is>
      </c>
      <c r="D56" s="3" t="inlineStr">
        <is>
          <t>Unit Price (SAR)</t>
        </is>
      </c>
      <c r="E56" s="3" t="inlineStr">
        <is>
          <t>Total (SAR)</t>
        </is>
      </c>
      <c r="F56" s="3" t="inlineStr">
        <is>
          <t>Notes</t>
        </is>
      </c>
    </row>
    <row r="57">
      <c r="A57" s="4" t="inlineStr">
        <is>
          <t>Venue Rental (Ladies section)</t>
        </is>
      </c>
      <c r="B57" s="5" t="inlineStr">
        <is>
          <t>Half day</t>
        </is>
      </c>
      <c r="C57" s="5" t="n">
        <v>1</v>
      </c>
      <c r="D57" s="22" t="n">
        <v>24000</v>
      </c>
      <c r="E57" s="23">
        <f>C57*D57</f>
        <v/>
      </c>
      <c r="F57" s="24" t="inlineStr">
        <is>
          <t>Elegant boutique venue or hotel ladies' space</t>
        </is>
      </c>
    </row>
    <row r="58">
      <c r="A58" s="7" t="inlineStr">
        <is>
          <t>Catering – Ladies' Lunch</t>
        </is>
      </c>
      <c r="B58" s="8" t="inlineStr">
        <is>
          <t>Per person</t>
        </is>
      </c>
      <c r="C58" s="8" t="n">
        <v>150</v>
      </c>
      <c r="D58" s="25" t="n">
        <v>230</v>
      </c>
      <c r="E58" s="26">
        <f>C58*D58</f>
        <v/>
      </c>
      <c r="F58" s="27" t="inlineStr">
        <is>
          <t>Refined plated lunch service + welcome drinks</t>
        </is>
      </c>
    </row>
    <row r="59">
      <c r="A59" s="4" t="inlineStr">
        <is>
          <t>Premium Floral Arrangements</t>
        </is>
      </c>
      <c r="B59" s="5" t="inlineStr">
        <is>
          <t>Package</t>
        </is>
      </c>
      <c r="C59" s="5" t="n">
        <v>1</v>
      </c>
      <c r="D59" s="22" t="n">
        <v>12000</v>
      </c>
      <c r="E59" s="23">
        <f>C59*D59</f>
        <v/>
      </c>
      <c r="F59" s="24" t="inlineStr">
        <is>
          <t>Centerpieces + entrance + stage florals + individual stems</t>
        </is>
      </c>
    </row>
    <row r="60">
      <c r="A60" s="7" t="inlineStr">
        <is>
          <t>Keynote Speaker + Panel (3 speakers)</t>
        </is>
      </c>
      <c r="B60" s="8" t="inlineStr">
        <is>
          <t>Package</t>
        </is>
      </c>
      <c r="C60" s="8" t="n">
        <v>1</v>
      </c>
      <c r="D60" s="25" t="n">
        <v>18000</v>
      </c>
      <c r="E60" s="26">
        <f>C60*D60</f>
        <v/>
      </c>
      <c r="F60" s="27" t="inlineStr">
        <is>
          <t>Female industry leaders</t>
        </is>
      </c>
    </row>
    <row r="61">
      <c r="A61" s="4" t="inlineStr">
        <is>
          <t>Elegant Photo Booth</t>
        </is>
      </c>
      <c r="B61" s="5" t="inlineStr">
        <is>
          <t>Package</t>
        </is>
      </c>
      <c r="C61" s="5" t="n">
        <v>1</v>
      </c>
      <c r="D61" s="22" t="n">
        <v>8000</v>
      </c>
      <c r="E61" s="23">
        <f>C61*D61</f>
        <v/>
      </c>
      <c r="F61" s="24" t="inlineStr">
        <is>
          <t>Premium backdrop, props, instant prints, digital sharing</t>
        </is>
      </c>
    </row>
    <row r="62">
      <c r="A62" s="7" t="inlineStr">
        <is>
          <t>Curated Gift Bags</t>
        </is>
      </c>
      <c r="B62" s="8" t="inlineStr">
        <is>
          <t>Per person</t>
        </is>
      </c>
      <c r="C62" s="8" t="n">
        <v>150</v>
      </c>
      <c r="D62" s="25" t="n">
        <v>135</v>
      </c>
      <c r="E62" s="26">
        <f>C62*D62</f>
        <v/>
      </c>
      <c r="F62" s="27" t="inlineStr">
        <is>
          <t>Skincare, accessories, flowers, personalized card</t>
        </is>
      </c>
    </row>
    <row r="63">
      <c r="A63" s="4" t="inlineStr">
        <is>
          <t>Photography (Female photographer)</t>
        </is>
      </c>
      <c r="B63" s="5" t="inlineStr">
        <is>
          <t>Half day</t>
        </is>
      </c>
      <c r="C63" s="5" t="n">
        <v>1</v>
      </c>
      <c r="D63" s="22" t="n">
        <v>5000</v>
      </c>
      <c r="E63" s="23">
        <f>C63*D63</f>
        <v/>
      </c>
      <c r="F63" s="24" t="inlineStr">
        <is>
          <t>400+ edited photos</t>
        </is>
      </c>
    </row>
    <row r="64">
      <c r="A64" s="7" t="inlineStr">
        <is>
          <t>Event Branding &amp; Design</t>
        </is>
      </c>
      <c r="B64" s="8" t="inlineStr">
        <is>
          <t>Package</t>
        </is>
      </c>
      <c r="C64" s="8" t="n">
        <v>1</v>
      </c>
      <c r="D64" s="25" t="n">
        <v>14000</v>
      </c>
      <c r="E64" s="26">
        <f>C64*D64</f>
        <v/>
      </c>
      <c r="F64" s="27" t="inlineStr">
        <is>
          <t>Invitations, social media kit, signage, digital assets</t>
        </is>
      </c>
    </row>
    <row r="65">
      <c r="A65" s="11" t="inlineStr">
        <is>
          <t>Subtotal (Before Commission)</t>
        </is>
      </c>
      <c r="B65" s="15" t="n"/>
      <c r="C65" s="15" t="n"/>
      <c r="D65" s="15" t="n"/>
      <c r="E65" s="13">
        <f>SUM(E57:E64)</f>
        <v/>
      </c>
      <c r="F65" s="15" t="n"/>
    </row>
    <row r="66">
      <c r="A66" s="11" t="inlineStr">
        <is>
          <t>Agency Commission (15%)</t>
        </is>
      </c>
      <c r="B66" s="12" t="inlineStr">
        <is>
          <t>15%</t>
        </is>
      </c>
      <c r="C66" s="15" t="n"/>
      <c r="D66" s="15" t="n"/>
      <c r="E66" s="13">
        <f>E65*0.15</f>
        <v/>
      </c>
      <c r="F66" s="28" t="inlineStr">
        <is>
          <t>Agency management, planning &amp; execution fee</t>
        </is>
      </c>
    </row>
    <row r="67">
      <c r="A67" s="29" t="inlineStr">
        <is>
          <t>▶ EVENT 4: International Women's Day – TOTAL</t>
        </is>
      </c>
      <c r="B67" s="29" t="n"/>
      <c r="C67" s="29" t="n"/>
      <c r="D67" s="29" t="n"/>
      <c r="E67" s="30">
        <f>E65+E66</f>
        <v/>
      </c>
      <c r="F67" s="29" t="n"/>
    </row>
    <row r="69">
      <c r="A69" s="21" t="inlineStr">
        <is>
          <t>EVENT 5: Saudi Flag Day | Date: March 11 | Attendance: 300 | SERA HQ</t>
        </is>
      </c>
    </row>
    <row r="70">
      <c r="A70" s="3" t="inlineStr">
        <is>
          <t>Cost Item</t>
        </is>
      </c>
      <c r="B70" s="3" t="inlineStr">
        <is>
          <t>Unit</t>
        </is>
      </c>
      <c r="C70" s="3" t="inlineStr">
        <is>
          <t>Qty</t>
        </is>
      </c>
      <c r="D70" s="3" t="inlineStr">
        <is>
          <t>Unit Price (SAR)</t>
        </is>
      </c>
      <c r="E70" s="3" t="inlineStr">
        <is>
          <t>Total (SAR)</t>
        </is>
      </c>
      <c r="F70" s="3" t="inlineStr">
        <is>
          <t>Notes</t>
        </is>
      </c>
    </row>
    <row r="71">
      <c r="A71" s="4" t="inlineStr">
        <is>
          <t>Venue</t>
        </is>
      </c>
      <c r="B71" s="5" t="inlineStr">
        <is>
          <t>SERA HQ</t>
        </is>
      </c>
      <c r="C71" s="5" t="n">
        <v>1</v>
      </c>
      <c r="D71" s="22" t="n">
        <v>0</v>
      </c>
      <c r="E71" s="23">
        <f>C71*D71</f>
        <v/>
      </c>
      <c r="F71" s="24" t="inlineStr">
        <is>
          <t>Internal – no rental cost</t>
        </is>
      </c>
    </row>
    <row r="72">
      <c r="A72" s="7" t="inlineStr">
        <is>
          <t>National Flag Display &amp; Décor</t>
        </is>
      </c>
      <c r="B72" s="8" t="inlineStr">
        <is>
          <t>Package</t>
        </is>
      </c>
      <c r="C72" s="8" t="n">
        <v>1</v>
      </c>
      <c r="D72" s="25" t="n">
        <v>12000</v>
      </c>
      <c r="E72" s="26">
        <f>C72*D72</f>
        <v/>
      </c>
      <c r="F72" s="27" t="inlineStr">
        <is>
          <t>Large flag (5m+), national colors throughout, entrance display</t>
        </is>
      </c>
    </row>
    <row r="73">
      <c r="A73" s="4" t="inlineStr">
        <is>
          <t>Sound System Rental</t>
        </is>
      </c>
      <c r="B73" s="5" t="inlineStr">
        <is>
          <t>Rental</t>
        </is>
      </c>
      <c r="C73" s="5" t="n">
        <v>1</v>
      </c>
      <c r="D73" s="22" t="n">
        <v>5000</v>
      </c>
      <c r="E73" s="23">
        <f>C73*D73</f>
        <v/>
      </c>
      <c r="F73" s="24" t="inlineStr">
        <is>
          <t>For national anthem + speeches + ambient</t>
        </is>
      </c>
    </row>
    <row r="74">
      <c r="A74" s="7" t="inlineStr">
        <is>
          <t>Commemorative Items (pins, badges, flags)</t>
        </is>
      </c>
      <c r="B74" s="8" t="inlineStr">
        <is>
          <t>Per person</t>
        </is>
      </c>
      <c r="C74" s="8" t="n">
        <v>300</v>
      </c>
      <c r="D74" s="25" t="n">
        <v>38</v>
      </c>
      <c r="E74" s="26">
        <f>C74*D74</f>
        <v/>
      </c>
      <c r="F74" s="27" t="inlineStr">
        <is>
          <t>Custom SERA + flag branding, premium quality</t>
        </is>
      </c>
    </row>
    <row r="75">
      <c r="A75" s="4" t="inlineStr">
        <is>
          <t>Light Refreshments</t>
        </is>
      </c>
      <c r="B75" s="5" t="inlineStr">
        <is>
          <t>Per person</t>
        </is>
      </c>
      <c r="C75" s="5" t="n">
        <v>300</v>
      </c>
      <c r="D75" s="22" t="n">
        <v>50</v>
      </c>
      <c r="E75" s="23">
        <f>C75*D75</f>
        <v/>
      </c>
      <c r="F75" s="24" t="inlineStr">
        <is>
          <t>Arabic coffee (dallah), premium dates, Saudi sweets</t>
        </is>
      </c>
    </row>
    <row r="76">
      <c r="A76" s="7" t="inlineStr">
        <is>
          <t>Photography</t>
        </is>
      </c>
      <c r="B76" s="8" t="inlineStr">
        <is>
          <t>2 hours</t>
        </is>
      </c>
      <c r="C76" s="8" t="n">
        <v>1</v>
      </c>
      <c r="D76" s="25" t="n">
        <v>3500</v>
      </c>
      <c r="E76" s="26">
        <f>C76*D76</f>
        <v/>
      </c>
      <c r="F76" s="27" t="inlineStr">
        <is>
          <t>Event documentation</t>
        </is>
      </c>
    </row>
    <row r="77">
      <c r="A77" s="4" t="inlineStr">
        <is>
          <t>Social Media Live Coverage</t>
        </is>
      </c>
      <c r="B77" s="5" t="inlineStr">
        <is>
          <t>Package</t>
        </is>
      </c>
      <c r="C77" s="5" t="n">
        <v>1</v>
      </c>
      <c r="D77" s="22" t="n">
        <v>4500</v>
      </c>
      <c r="E77" s="23">
        <f>C77*D77</f>
        <v/>
      </c>
      <c r="F77" s="24" t="inlineStr">
        <is>
          <t>Real-time posts + stories + reels</t>
        </is>
      </c>
    </row>
    <row r="78">
      <c r="A78" s="7" t="inlineStr">
        <is>
          <t>Event Branding &amp; Design</t>
        </is>
      </c>
      <c r="B78" s="8" t="inlineStr">
        <is>
          <t>Package</t>
        </is>
      </c>
      <c r="C78" s="8" t="n">
        <v>1</v>
      </c>
      <c r="D78" s="25" t="n">
        <v>14000</v>
      </c>
      <c r="E78" s="26">
        <f>C78*D78</f>
        <v/>
      </c>
      <c r="F78" s="27" t="inlineStr">
        <is>
          <t>National day signage, displays, social media, digital assets</t>
        </is>
      </c>
    </row>
    <row r="79">
      <c r="A79" s="11" t="inlineStr">
        <is>
          <t>Subtotal (Before Commission)</t>
        </is>
      </c>
      <c r="B79" s="15" t="n"/>
      <c r="C79" s="15" t="n"/>
      <c r="D79" s="15" t="n"/>
      <c r="E79" s="13">
        <f>SUM(E71:E78)</f>
        <v/>
      </c>
      <c r="F79" s="15" t="n"/>
    </row>
    <row r="80">
      <c r="A80" s="11" t="inlineStr">
        <is>
          <t>Agency Commission (15%)</t>
        </is>
      </c>
      <c r="B80" s="12" t="inlineStr">
        <is>
          <t>15%</t>
        </is>
      </c>
      <c r="C80" s="15" t="n"/>
      <c r="D80" s="15" t="n"/>
      <c r="E80" s="13">
        <f>E79*0.15</f>
        <v/>
      </c>
      <c r="F80" s="28" t="inlineStr">
        <is>
          <t>Agency management, planning &amp; execution fee</t>
        </is>
      </c>
    </row>
    <row r="81">
      <c r="A81" s="29" t="inlineStr">
        <is>
          <t>▶ EVENT 5: Saudi Flag Day – TOTAL</t>
        </is>
      </c>
      <c r="B81" s="29" t="n"/>
      <c r="C81" s="29" t="n"/>
      <c r="D81" s="29" t="n"/>
      <c r="E81" s="30">
        <f>E79+E80</f>
        <v/>
      </c>
      <c r="F81" s="29" t="n"/>
    </row>
    <row r="83">
      <c r="A83" s="21" t="inlineStr">
        <is>
          <t>EVENT 6: Ramadan Iftar | Date: Mid-March | Attendance: 300 | 5-Star Hotel Ramadan Tent</t>
        </is>
      </c>
    </row>
    <row r="84">
      <c r="A84" s="3" t="inlineStr">
        <is>
          <t>Cost Item</t>
        </is>
      </c>
      <c r="B84" s="3" t="inlineStr">
        <is>
          <t>Unit</t>
        </is>
      </c>
      <c r="C84" s="3" t="inlineStr">
        <is>
          <t>Qty</t>
        </is>
      </c>
      <c r="D84" s="3" t="inlineStr">
        <is>
          <t>Unit Price (SAR)</t>
        </is>
      </c>
      <c r="E84" s="3" t="inlineStr">
        <is>
          <t>Total (SAR)</t>
        </is>
      </c>
      <c r="F84" s="3" t="inlineStr">
        <is>
          <t>Notes</t>
        </is>
      </c>
    </row>
    <row r="85">
      <c r="A85" s="4" t="inlineStr">
        <is>
          <t>Iftar Buffet (5-Star Hotel)</t>
        </is>
      </c>
      <c r="B85" s="5" t="inlineStr">
        <is>
          <t>Per person</t>
        </is>
      </c>
      <c r="C85" s="5" t="n">
        <v>300</v>
      </c>
      <c r="D85" s="22" t="n">
        <v>450</v>
      </c>
      <c r="E85" s="23">
        <f>C85*D85</f>
        <v/>
      </c>
      <c r="F85" s="31" t="inlineStr">
        <is>
          <t>[NOTE] Ramadan premium pricing – 20-30% above regular season</t>
        </is>
      </c>
    </row>
    <row r="86">
      <c r="A86" s="7" t="inlineStr">
        <is>
          <t>VIP Seating Upgrade (Senior Leadership)</t>
        </is>
      </c>
      <c r="B86" s="8" t="inlineStr">
        <is>
          <t>Per person</t>
        </is>
      </c>
      <c r="C86" s="8" t="n">
        <v>40</v>
      </c>
      <c r="D86" s="25" t="n">
        <v>220</v>
      </c>
      <c r="E86" s="26">
        <f>C86*D86</f>
        <v/>
      </c>
      <c r="F86" s="32" t="inlineStr">
        <is>
          <t>[NOTE] Assumed 13% VIP guests – confirm with SERA</t>
        </is>
      </c>
    </row>
    <row r="87">
      <c r="A87" s="4" t="inlineStr">
        <is>
          <t>Traditional Entertainment (Oud + Singer)</t>
        </is>
      </c>
      <c r="B87" s="5" t="inlineStr">
        <is>
          <t>Package</t>
        </is>
      </c>
      <c r="C87" s="5" t="n">
        <v>1</v>
      </c>
      <c r="D87" s="22" t="n">
        <v>15000</v>
      </c>
      <c r="E87" s="23">
        <f>C87*D87</f>
        <v/>
      </c>
      <c r="F87" s="24" t="inlineStr">
        <is>
          <t>Oud player + traditional vocalist + Tawashih</t>
        </is>
      </c>
    </row>
    <row r="88">
      <c r="A88" s="7" t="inlineStr">
        <is>
          <t>Ramadan Décor Enhancement</t>
        </is>
      </c>
      <c r="B88" s="8" t="inlineStr">
        <is>
          <t>Package</t>
        </is>
      </c>
      <c r="C88" s="8" t="n">
        <v>1</v>
      </c>
      <c r="D88" s="25" t="n">
        <v>12000</v>
      </c>
      <c r="E88" s="26">
        <f>C88*D88</f>
        <v/>
      </c>
      <c r="F88" s="27" t="inlineStr">
        <is>
          <t>Lanterns, crescents, fabric draping, ambient lighting, entrance</t>
        </is>
      </c>
    </row>
    <row r="89">
      <c r="A89" s="4" t="inlineStr">
        <is>
          <t>Premium Ramadan Gift Boxes</t>
        </is>
      </c>
      <c r="B89" s="5" t="inlineStr">
        <is>
          <t>Per person</t>
        </is>
      </c>
      <c r="C89" s="5" t="n">
        <v>300</v>
      </c>
      <c r="D89" s="22" t="n">
        <v>120</v>
      </c>
      <c r="E89" s="23">
        <f>C89*D89</f>
        <v/>
      </c>
      <c r="F89" s="24" t="inlineStr">
        <is>
          <t>Premium dates, tasbih, Ramadan book, oud, prayer rug</t>
        </is>
      </c>
    </row>
    <row r="90">
      <c r="A90" s="7" t="inlineStr">
        <is>
          <t>Photography &amp; Videography</t>
        </is>
      </c>
      <c r="B90" s="8" t="inlineStr">
        <is>
          <t>Package</t>
        </is>
      </c>
      <c r="C90" s="8" t="n">
        <v>1</v>
      </c>
      <c r="D90" s="25" t="n">
        <v>10000</v>
      </c>
      <c r="E90" s="26">
        <f>C90*D90</f>
        <v/>
      </c>
      <c r="F90" s="27" t="inlineStr">
        <is>
          <t>Evening iftar coverage + highlight reel</t>
        </is>
      </c>
    </row>
    <row r="91">
      <c r="A91" s="4" t="inlineStr">
        <is>
          <t>Event Branding &amp; Design</t>
        </is>
      </c>
      <c r="B91" s="5" t="inlineStr">
        <is>
          <t>Package</t>
        </is>
      </c>
      <c r="C91" s="5" t="n">
        <v>1</v>
      </c>
      <c r="D91" s="22" t="n">
        <v>14000</v>
      </c>
      <c r="E91" s="23">
        <f>C91*D91</f>
        <v/>
      </c>
      <c r="F91" s="24" t="inlineStr">
        <is>
          <t>Ramadan-themed invitations, signage, social media kit, digital assets</t>
        </is>
      </c>
    </row>
    <row r="92">
      <c r="A92" s="11" t="inlineStr">
        <is>
          <t>Subtotal (Before Commission)</t>
        </is>
      </c>
      <c r="B92" s="15" t="n"/>
      <c r="C92" s="15" t="n"/>
      <c r="D92" s="15" t="n"/>
      <c r="E92" s="13">
        <f>SUM(E85:E91)</f>
        <v/>
      </c>
      <c r="F92" s="15" t="n"/>
    </row>
    <row r="93">
      <c r="A93" s="11" t="inlineStr">
        <is>
          <t>Agency Commission (15%)</t>
        </is>
      </c>
      <c r="B93" s="12" t="inlineStr">
        <is>
          <t>15%</t>
        </is>
      </c>
      <c r="C93" s="15" t="n"/>
      <c r="D93" s="15" t="n"/>
      <c r="E93" s="13">
        <f>E92*0.15</f>
        <v/>
      </c>
      <c r="F93" s="28" t="inlineStr">
        <is>
          <t>Agency management, planning &amp; execution fee</t>
        </is>
      </c>
    </row>
    <row r="94">
      <c r="A94" s="29" t="inlineStr">
        <is>
          <t>▶ EVENT 6: Ramadan Iftar – TOTAL</t>
        </is>
      </c>
      <c r="B94" s="29" t="n"/>
      <c r="C94" s="29" t="n"/>
      <c r="D94" s="29" t="n"/>
      <c r="E94" s="30">
        <f>E92+E93</f>
        <v/>
      </c>
      <c r="F94" s="29" t="n"/>
    </row>
    <row r="96">
      <c r="A96" s="21" t="inlineStr">
        <is>
          <t>EVENT 7: Mother's Day | Date: March 21 | Attendance: 130 | Elegant Restaurant</t>
        </is>
      </c>
    </row>
    <row r="97">
      <c r="A97" s="3" t="inlineStr">
        <is>
          <t>Cost Item</t>
        </is>
      </c>
      <c r="B97" s="3" t="inlineStr">
        <is>
          <t>Unit</t>
        </is>
      </c>
      <c r="C97" s="3" t="inlineStr">
        <is>
          <t>Qty</t>
        </is>
      </c>
      <c r="D97" s="3" t="inlineStr">
        <is>
          <t>Unit Price (SAR)</t>
        </is>
      </c>
      <c r="E97" s="3" t="inlineStr">
        <is>
          <t>Total (SAR)</t>
        </is>
      </c>
      <c r="F97" s="3" t="inlineStr">
        <is>
          <t>Notes</t>
        </is>
      </c>
    </row>
    <row r="98">
      <c r="A98" s="4" t="inlineStr">
        <is>
          <t>Venue + Lunch (Private dining)</t>
        </is>
      </c>
      <c r="B98" s="5" t="inlineStr">
        <is>
          <t>Per person</t>
        </is>
      </c>
      <c r="C98" s="5" t="n">
        <v>130</v>
      </c>
      <c r="D98" s="22" t="n">
        <v>280</v>
      </c>
      <c r="E98" s="23">
        <f>C98*D98</f>
        <v/>
      </c>
      <c r="F98" s="24" t="inlineStr">
        <is>
          <t>Private restaurant section, premium setting</t>
        </is>
      </c>
    </row>
    <row r="99">
      <c r="A99" s="7" t="inlineStr">
        <is>
          <t>Individual Flower Bouquet</t>
        </is>
      </c>
      <c r="B99" s="8" t="inlineStr">
        <is>
          <t>Per person</t>
        </is>
      </c>
      <c r="C99" s="8" t="n">
        <v>130</v>
      </c>
      <c r="D99" s="25" t="n">
        <v>75</v>
      </c>
      <c r="E99" s="26">
        <f>C99*D99</f>
        <v/>
      </c>
      <c r="F99" s="27" t="inlineStr">
        <is>
          <t>Premium wrapped bouquet per attendee</t>
        </is>
      </c>
    </row>
    <row r="100">
      <c r="A100" s="4" t="inlineStr">
        <is>
          <t>Special Gift for Mothers</t>
        </is>
      </c>
      <c r="B100" s="5" t="inlineStr">
        <is>
          <t>Per person</t>
        </is>
      </c>
      <c r="C100" s="5" t="n">
        <v>65</v>
      </c>
      <c r="D100" s="22" t="n">
        <v>185</v>
      </c>
      <c r="E100" s="23">
        <f>C100*D100</f>
        <v/>
      </c>
      <c r="F100" s="31" t="inlineStr">
        <is>
          <t>[NOTE] Assumed 50% are mothers – adjust based on SERA data</t>
        </is>
      </c>
    </row>
    <row r="101">
      <c r="A101" s="7" t="inlineStr">
        <is>
          <t>Light Entertainment / Performance</t>
        </is>
      </c>
      <c r="B101" s="8" t="inlineStr">
        <is>
          <t>Package</t>
        </is>
      </c>
      <c r="C101" s="8" t="n">
        <v>1</v>
      </c>
      <c r="D101" s="25" t="n">
        <v>10000</v>
      </c>
      <c r="E101" s="26">
        <f>C101*D101</f>
        <v/>
      </c>
      <c r="F101" s="27" t="inlineStr">
        <is>
          <t>Musical performance + singer</t>
        </is>
      </c>
    </row>
    <row r="102">
      <c r="A102" s="4" t="inlineStr">
        <is>
          <t>Photography</t>
        </is>
      </c>
      <c r="B102" s="5" t="inlineStr">
        <is>
          <t>3 hours</t>
        </is>
      </c>
      <c r="C102" s="5" t="n">
        <v>1</v>
      </c>
      <c r="D102" s="22" t="n">
        <v>4500</v>
      </c>
      <c r="E102" s="23">
        <f>C102*D102</f>
        <v/>
      </c>
      <c r="F102" s="24" t="inlineStr">
        <is>
          <t>Event coverage</t>
        </is>
      </c>
    </row>
    <row r="103">
      <c r="A103" s="7" t="inlineStr">
        <is>
          <t>Event Branding &amp; Design</t>
        </is>
      </c>
      <c r="B103" s="8" t="inlineStr">
        <is>
          <t>Package</t>
        </is>
      </c>
      <c r="C103" s="8" t="n">
        <v>1</v>
      </c>
      <c r="D103" s="25" t="n">
        <v>14000</v>
      </c>
      <c r="E103" s="26">
        <f>C103*D103</f>
        <v/>
      </c>
      <c r="F103" s="27" t="inlineStr">
        <is>
          <t>Invitations, signage, cards, social media kit, digital assets</t>
        </is>
      </c>
    </row>
    <row r="104">
      <c r="A104" s="11" t="inlineStr">
        <is>
          <t>Subtotal (Before Commission)</t>
        </is>
      </c>
      <c r="B104" s="15" t="n"/>
      <c r="C104" s="15" t="n"/>
      <c r="D104" s="15" t="n"/>
      <c r="E104" s="13">
        <f>SUM(E98:E103)</f>
        <v/>
      </c>
      <c r="F104" s="15" t="n"/>
    </row>
    <row r="105">
      <c r="A105" s="11" t="inlineStr">
        <is>
          <t>Agency Commission (15%)</t>
        </is>
      </c>
      <c r="B105" s="12" t="inlineStr">
        <is>
          <t>15%</t>
        </is>
      </c>
      <c r="C105" s="15" t="n"/>
      <c r="D105" s="15" t="n"/>
      <c r="E105" s="13">
        <f>E104*0.15</f>
        <v/>
      </c>
      <c r="F105" s="28" t="inlineStr">
        <is>
          <t>Agency management, planning &amp; execution fee</t>
        </is>
      </c>
    </row>
    <row r="106">
      <c r="A106" s="29" t="inlineStr">
        <is>
          <t>▶ EVENT 7: Mother's Day – TOTAL</t>
        </is>
      </c>
      <c r="B106" s="29" t="n"/>
      <c r="C106" s="29" t="n"/>
      <c r="D106" s="29" t="n"/>
      <c r="E106" s="30">
        <f>E104+E105</f>
        <v/>
      </c>
      <c r="F106" s="29" t="n"/>
    </row>
    <row r="108">
      <c r="A108" s="21" t="inlineStr">
        <is>
          <t>EVENT 8: Saudi Green Initiative (المبادرة الخضراء) | Date: March 27 | Attendance: 250 | SERA HQ</t>
        </is>
      </c>
    </row>
    <row r="109">
      <c r="A109" s="3" t="inlineStr">
        <is>
          <t>Cost Item</t>
        </is>
      </c>
      <c r="B109" s="3" t="inlineStr">
        <is>
          <t>Unit</t>
        </is>
      </c>
      <c r="C109" s="3" t="inlineStr">
        <is>
          <t>Qty</t>
        </is>
      </c>
      <c r="D109" s="3" t="inlineStr">
        <is>
          <t>Unit Price (SAR)</t>
        </is>
      </c>
      <c r="E109" s="3" t="inlineStr">
        <is>
          <t>Total (SAR)</t>
        </is>
      </c>
      <c r="F109" s="3" t="inlineStr">
        <is>
          <t>Notes</t>
        </is>
      </c>
    </row>
    <row r="110">
      <c r="A110" s="4" t="inlineStr">
        <is>
          <t>Venue</t>
        </is>
      </c>
      <c r="B110" s="5" t="inlineStr">
        <is>
          <t>SERA HQ</t>
        </is>
      </c>
      <c r="C110" s="5" t="n">
        <v>1</v>
      </c>
      <c r="D110" s="22" t="n">
        <v>0</v>
      </c>
      <c r="E110" s="23">
        <f>C110*D110</f>
        <v/>
      </c>
      <c r="F110" s="24" t="inlineStr">
        <is>
          <t>Internal – no rental cost</t>
        </is>
      </c>
    </row>
    <row r="111">
      <c r="A111" s="7" t="inlineStr">
        <is>
          <t>Green Initiative Exhibition Booths</t>
        </is>
      </c>
      <c r="B111" s="8" t="inlineStr">
        <is>
          <t>Package</t>
        </is>
      </c>
      <c r="C111" s="8" t="n">
        <v>1</v>
      </c>
      <c r="D111" s="25" t="n">
        <v>15000</v>
      </c>
      <c r="E111" s="26">
        <f>C111*D111</f>
        <v/>
      </c>
      <c r="F111" s="27" t="inlineStr">
        <is>
          <t>Interactive sustainability displays, SERA green projects</t>
        </is>
      </c>
    </row>
    <row r="112">
      <c r="A112" s="4" t="inlineStr">
        <is>
          <t>Environmental Expert Speaker</t>
        </is>
      </c>
      <c r="B112" s="5" t="inlineStr">
        <is>
          <t>Fee</t>
        </is>
      </c>
      <c r="C112" s="5" t="n">
        <v>1</v>
      </c>
      <c r="D112" s="22" t="n">
        <v>15000</v>
      </c>
      <c r="E112" s="23">
        <f>C112*D112</f>
        <v/>
      </c>
      <c r="F112" s="24" t="inlineStr">
        <is>
          <t>Sustainability / clean energy expert</t>
        </is>
      </c>
    </row>
    <row r="113">
      <c r="A113" s="7" t="inlineStr">
        <is>
          <t>Awareness Materials &amp; Eco Giveaways</t>
        </is>
      </c>
      <c r="B113" s="8" t="inlineStr">
        <is>
          <t>Per person</t>
        </is>
      </c>
      <c r="C113" s="8" t="n">
        <v>250</v>
      </c>
      <c r="D113" s="25" t="n">
        <v>32</v>
      </c>
      <c r="E113" s="26">
        <f>C113*D113</f>
        <v/>
      </c>
      <c r="F113" s="27" t="inlineStr">
        <is>
          <t>Eco-friendly branded items, seed kits, reusable bags</t>
        </is>
      </c>
    </row>
    <row r="114">
      <c r="A114" s="4" t="inlineStr">
        <is>
          <t>Light Refreshments (Organic/Healthy)</t>
        </is>
      </c>
      <c r="B114" s="5" t="inlineStr">
        <is>
          <t>Per person</t>
        </is>
      </c>
      <c r="C114" s="5" t="n">
        <v>250</v>
      </c>
      <c r="D114" s="22" t="n">
        <v>45</v>
      </c>
      <c r="E114" s="23">
        <f>C114*D114</f>
        <v/>
      </c>
      <c r="F114" s="24" t="inlineStr">
        <is>
          <t>Organic options, minimal-waste serving</t>
        </is>
      </c>
    </row>
    <row r="115">
      <c r="A115" s="7" t="inlineStr">
        <is>
          <t>Photography</t>
        </is>
      </c>
      <c r="B115" s="8" t="inlineStr">
        <is>
          <t>2 hours</t>
        </is>
      </c>
      <c r="C115" s="8" t="n">
        <v>1</v>
      </c>
      <c r="D115" s="25" t="n">
        <v>3500</v>
      </c>
      <c r="E115" s="26">
        <f>C115*D115</f>
        <v/>
      </c>
      <c r="F115" s="27" t="inlineStr">
        <is>
          <t>Event documentation</t>
        </is>
      </c>
    </row>
    <row r="116">
      <c r="A116" s="4" t="inlineStr">
        <is>
          <t>Event Branding &amp; Design</t>
        </is>
      </c>
      <c r="B116" s="5" t="inlineStr">
        <is>
          <t>Package</t>
        </is>
      </c>
      <c r="C116" s="5" t="n">
        <v>1</v>
      </c>
      <c r="D116" s="22" t="n">
        <v>14000</v>
      </c>
      <c r="E116" s="23">
        <f>C116*D116</f>
        <v/>
      </c>
      <c r="F116" s="24" t="inlineStr">
        <is>
          <t>Green-themed signage, displays, social media kit</t>
        </is>
      </c>
    </row>
    <row r="117">
      <c r="A117" s="11" t="inlineStr">
        <is>
          <t>Subtotal (Before Commission)</t>
        </is>
      </c>
      <c r="B117" s="15" t="n"/>
      <c r="C117" s="15" t="n"/>
      <c r="D117" s="15" t="n"/>
      <c r="E117" s="13">
        <f>SUM(E110:E116)</f>
        <v/>
      </c>
      <c r="F117" s="15" t="n"/>
    </row>
    <row r="118">
      <c r="A118" s="11" t="inlineStr">
        <is>
          <t>Agency Commission (15%)</t>
        </is>
      </c>
      <c r="B118" s="12" t="inlineStr">
        <is>
          <t>15%</t>
        </is>
      </c>
      <c r="C118" s="15" t="n"/>
      <c r="D118" s="15" t="n"/>
      <c r="E118" s="13">
        <f>E117*0.15</f>
        <v/>
      </c>
      <c r="F118" s="28" t="inlineStr">
        <is>
          <t>Agency management, planning &amp; execution fee</t>
        </is>
      </c>
    </row>
    <row r="119">
      <c r="A119" s="29" t="inlineStr">
        <is>
          <t>▶ EVENT 8: Saudi Green Initiative (المبادرة الخضراء) – TOTAL</t>
        </is>
      </c>
      <c r="B119" s="29" t="n"/>
      <c r="C119" s="29" t="n"/>
      <c r="D119" s="29" t="n"/>
      <c r="E119" s="30">
        <f>E117+E118</f>
        <v/>
      </c>
      <c r="F119" s="29" t="n"/>
    </row>
    <row r="121">
      <c r="A121" s="21" t="inlineStr">
        <is>
          <t>EVENT 9: Ehsan Philanthropy Campaign (حملة إحسان) | Date: March | Attendance: 200 | SERA HQ</t>
        </is>
      </c>
    </row>
    <row r="122">
      <c r="A122" s="3" t="inlineStr">
        <is>
          <t>Cost Item</t>
        </is>
      </c>
      <c r="B122" s="3" t="inlineStr">
        <is>
          <t>Unit</t>
        </is>
      </c>
      <c r="C122" s="3" t="inlineStr">
        <is>
          <t>Qty</t>
        </is>
      </c>
      <c r="D122" s="3" t="inlineStr">
        <is>
          <t>Unit Price (SAR)</t>
        </is>
      </c>
      <c r="E122" s="3" t="inlineStr">
        <is>
          <t>Total (SAR)</t>
        </is>
      </c>
      <c r="F122" s="3" t="inlineStr">
        <is>
          <t>Notes</t>
        </is>
      </c>
    </row>
    <row r="123">
      <c r="A123" s="4" t="inlineStr">
        <is>
          <t>Venue</t>
        </is>
      </c>
      <c r="B123" s="5" t="inlineStr">
        <is>
          <t>SERA HQ</t>
        </is>
      </c>
      <c r="C123" s="5" t="n">
        <v>1</v>
      </c>
      <c r="D123" s="22" t="n">
        <v>0</v>
      </c>
      <c r="E123" s="23">
        <f>C123*D123</f>
        <v/>
      </c>
      <c r="F123" s="24" t="inlineStr">
        <is>
          <t>Internal – no rental cost</t>
        </is>
      </c>
    </row>
    <row r="124">
      <c r="A124" s="7" t="inlineStr">
        <is>
          <t>Campaign Materials &amp; Setup</t>
        </is>
      </c>
      <c r="B124" s="8" t="inlineStr">
        <is>
          <t>Package</t>
        </is>
      </c>
      <c r="C124" s="8" t="n">
        <v>1</v>
      </c>
      <c r="D124" s="25" t="n">
        <v>10000</v>
      </c>
      <c r="E124" s="26">
        <f>C124*D124</f>
        <v/>
      </c>
      <c r="F124" s="27" t="inlineStr">
        <is>
          <t>Ehsan platform displays, donation stations, banners</t>
        </is>
      </c>
    </row>
    <row r="125">
      <c r="A125" s="4" t="inlineStr">
        <is>
          <t>Awareness Display &amp; Interactive Booth</t>
        </is>
      </c>
      <c r="B125" s="5" t="inlineStr">
        <is>
          <t>Package</t>
        </is>
      </c>
      <c r="C125" s="5" t="n">
        <v>1</v>
      </c>
      <c r="D125" s="22" t="n">
        <v>8000</v>
      </c>
      <c r="E125" s="23">
        <f>C125*D125</f>
        <v/>
      </c>
      <c r="F125" s="24" t="inlineStr">
        <is>
          <t>Ehsan success stories, impact display, QR donation</t>
        </is>
      </c>
    </row>
    <row r="126">
      <c r="A126" s="7" t="inlineStr">
        <is>
          <t>Ehsan-Branded Giveaways</t>
        </is>
      </c>
      <c r="B126" s="8" t="inlineStr">
        <is>
          <t>Per person</t>
        </is>
      </c>
      <c r="C126" s="8" t="n">
        <v>200</v>
      </c>
      <c r="D126" s="25" t="n">
        <v>35</v>
      </c>
      <c r="E126" s="26">
        <f>C126*D126</f>
        <v/>
      </c>
      <c r="F126" s="27" t="inlineStr">
        <is>
          <t>Branded awareness items, charity wristbands</t>
        </is>
      </c>
    </row>
    <row r="127">
      <c r="A127" s="4" t="inlineStr">
        <is>
          <t>Light Refreshments</t>
        </is>
      </c>
      <c r="B127" s="5" t="inlineStr">
        <is>
          <t>Per person</t>
        </is>
      </c>
      <c r="C127" s="5" t="n">
        <v>200</v>
      </c>
      <c r="D127" s="22" t="n">
        <v>40</v>
      </c>
      <c r="E127" s="23">
        <f>C127*D127</f>
        <v/>
      </c>
      <c r="F127" s="24" t="inlineStr">
        <is>
          <t>Coffee, snacks, sweets</t>
        </is>
      </c>
    </row>
    <row r="128">
      <c r="A128" s="7" t="inlineStr">
        <is>
          <t>Photography</t>
        </is>
      </c>
      <c r="B128" s="8" t="inlineStr">
        <is>
          <t>2 hours</t>
        </is>
      </c>
      <c r="C128" s="8" t="n">
        <v>1</v>
      </c>
      <c r="D128" s="25" t="n">
        <v>3000</v>
      </c>
      <c r="E128" s="26">
        <f>C128*D128</f>
        <v/>
      </c>
      <c r="F128" s="27" t="inlineStr">
        <is>
          <t>Event documentation</t>
        </is>
      </c>
    </row>
    <row r="129">
      <c r="A129" s="4" t="inlineStr">
        <is>
          <t>Event Branding &amp; Design</t>
        </is>
      </c>
      <c r="B129" s="5" t="inlineStr">
        <is>
          <t>Package</t>
        </is>
      </c>
      <c r="C129" s="5" t="n">
        <v>1</v>
      </c>
      <c r="D129" s="22" t="n">
        <v>14000</v>
      </c>
      <c r="E129" s="23">
        <f>C129*D129</f>
        <v/>
      </c>
      <c r="F129" s="24" t="inlineStr">
        <is>
          <t>Campaign signage, displays, social media kit</t>
        </is>
      </c>
    </row>
    <row r="130">
      <c r="A130" s="11" t="inlineStr">
        <is>
          <t>Subtotal (Before Commission)</t>
        </is>
      </c>
      <c r="B130" s="15" t="n"/>
      <c r="C130" s="15" t="n"/>
      <c r="D130" s="15" t="n"/>
      <c r="E130" s="13">
        <f>SUM(E123:E129)</f>
        <v/>
      </c>
      <c r="F130" s="15" t="n"/>
    </row>
    <row r="131">
      <c r="A131" s="11" t="inlineStr">
        <is>
          <t>Agency Commission (15%)</t>
        </is>
      </c>
      <c r="B131" s="12" t="inlineStr">
        <is>
          <t>15%</t>
        </is>
      </c>
      <c r="C131" s="15" t="n"/>
      <c r="D131" s="15" t="n"/>
      <c r="E131" s="13">
        <f>E130*0.15</f>
        <v/>
      </c>
      <c r="F131" s="28" t="inlineStr">
        <is>
          <t>Agency management, planning &amp; execution fee</t>
        </is>
      </c>
    </row>
    <row r="132">
      <c r="A132" s="29" t="inlineStr">
        <is>
          <t>▶ EVENT 9: Ehsan Philanthropy Campaign (حملة إحسان) – TOTAL</t>
        </is>
      </c>
      <c r="B132" s="29" t="n"/>
      <c r="C132" s="29" t="n"/>
      <c r="D132" s="29" t="n"/>
      <c r="E132" s="30">
        <f>E130+E131</f>
        <v/>
      </c>
      <c r="F132" s="29" t="n"/>
    </row>
    <row r="135">
      <c r="A135" s="1" t="inlineStr">
        <is>
          <t>Q2 EVENTS</t>
        </is>
      </c>
    </row>
    <row r="136">
      <c r="A136" s="21" t="inlineStr">
        <is>
          <t>EVENT 10: Eid Al-Fitr Celebration | Date: Early April | Attendance: 300 | 5-Star Hotel – Grand Gala</t>
        </is>
      </c>
    </row>
    <row r="137">
      <c r="A137" s="3" t="inlineStr">
        <is>
          <t>Cost Item</t>
        </is>
      </c>
      <c r="B137" s="3" t="inlineStr">
        <is>
          <t>Unit</t>
        </is>
      </c>
      <c r="C137" s="3" t="inlineStr">
        <is>
          <t>Qty</t>
        </is>
      </c>
      <c r="D137" s="3" t="inlineStr">
        <is>
          <t>Unit Price (SAR)</t>
        </is>
      </c>
      <c r="E137" s="3" t="inlineStr">
        <is>
          <t>Total (SAR)</t>
        </is>
      </c>
      <c r="F137" s="3" t="inlineStr">
        <is>
          <t>Notes</t>
        </is>
      </c>
    </row>
    <row r="138">
      <c r="A138" s="4" t="inlineStr">
        <is>
          <t>Venue Rental (Grand Ballroom)</t>
        </is>
      </c>
      <c r="B138" s="5" t="inlineStr">
        <is>
          <t>Evening</t>
        </is>
      </c>
      <c r="C138" s="5" t="n">
        <v>1</v>
      </c>
      <c r="D138" s="22" t="n">
        <v>58000</v>
      </c>
      <c r="E138" s="23">
        <f>C138*D138</f>
        <v/>
      </c>
      <c r="F138" s="24" t="inlineStr">
        <is>
          <t>Premium 5-star hotel, premium setup</t>
        </is>
      </c>
    </row>
    <row r="139">
      <c r="A139" s="7" t="inlineStr">
        <is>
          <t>Catering – Eid Gala Dinner</t>
        </is>
      </c>
      <c r="B139" s="8" t="inlineStr">
        <is>
          <t>Per person</t>
        </is>
      </c>
      <c r="C139" s="8" t="n">
        <v>300</v>
      </c>
      <c r="D139" s="25" t="n">
        <v>360</v>
      </c>
      <c r="E139" s="26">
        <f>C139*D139</f>
        <v/>
      </c>
      <c r="F139" s="27" t="inlineStr">
        <is>
          <t>Eid special menu + live cooking stations + dessert bar</t>
        </is>
      </c>
    </row>
    <row r="140">
      <c r="A140" s="4" t="inlineStr">
        <is>
          <t>Stage &amp; Full Eid Décor (Gold/White theme)</t>
        </is>
      </c>
      <c r="B140" s="5" t="inlineStr">
        <is>
          <t>Package</t>
        </is>
      </c>
      <c r="C140" s="5" t="n">
        <v>1</v>
      </c>
      <c r="D140" s="22" t="n">
        <v>42000</v>
      </c>
      <c r="E140" s="23">
        <f>C140*D140</f>
        <v/>
      </c>
      <c r="F140" s="24" t="inlineStr">
        <is>
          <t>Premium festive Eid decoration + entrance arch + lighting</t>
        </is>
      </c>
    </row>
    <row r="141">
      <c r="A141" s="7" t="inlineStr">
        <is>
          <t>Entertainment – Ardah + Live Music</t>
        </is>
      </c>
      <c r="B141" s="8" t="inlineStr">
        <is>
          <t>Package</t>
        </is>
      </c>
      <c r="C141" s="8" t="n">
        <v>1</v>
      </c>
      <c r="D141" s="25" t="n">
        <v>30000</v>
      </c>
      <c r="E141" s="26">
        <f>C141*D141</f>
        <v/>
      </c>
      <c r="F141" s="27" t="inlineStr">
        <is>
          <t>Traditional Ardah troupe + modern band</t>
        </is>
      </c>
    </row>
    <row r="142">
      <c r="A142" s="4" t="inlineStr">
        <is>
          <t>LED Video Wall &amp; Full AV Production</t>
        </is>
      </c>
      <c r="B142" s="5" t="inlineStr">
        <is>
          <t>Package</t>
        </is>
      </c>
      <c r="C142" s="5" t="n">
        <v>1</v>
      </c>
      <c r="D142" s="22" t="n">
        <v>22000</v>
      </c>
      <c r="E142" s="23">
        <f>C142*D142</f>
        <v/>
      </c>
      <c r="F142" s="24" t="inlineStr">
        <is>
          <t>Full stage production, lighting design, effects</t>
        </is>
      </c>
    </row>
    <row r="143">
      <c r="A143" s="7" t="inlineStr">
        <is>
          <t>Photography &amp; Videography (Full team)</t>
        </is>
      </c>
      <c r="B143" s="8" t="inlineStr">
        <is>
          <t>Package</t>
        </is>
      </c>
      <c r="C143" s="8" t="n">
        <v>1</v>
      </c>
      <c r="D143" s="25" t="n">
        <v>18000</v>
      </c>
      <c r="E143" s="26">
        <f>C143*D143</f>
        <v/>
      </c>
      <c r="F143" s="27" t="inlineStr">
        <is>
          <t>Complete coverage, same-day preview, highlight reel</t>
        </is>
      </c>
    </row>
    <row r="144">
      <c r="A144" s="4" t="inlineStr">
        <is>
          <t>Eid Employee Gift Boxes</t>
        </is>
      </c>
      <c r="B144" s="5" t="inlineStr">
        <is>
          <t>Per person</t>
        </is>
      </c>
      <c r="C144" s="5" t="n">
        <v>300</v>
      </c>
      <c r="D144" s="22" t="n">
        <v>155</v>
      </c>
      <c r="E144" s="23">
        <f>C144*D144</f>
        <v/>
      </c>
      <c r="F144" s="24" t="inlineStr">
        <is>
          <t>Premium Eid gift box with personalized item</t>
        </is>
      </c>
    </row>
    <row r="145">
      <c r="A145" s="7" t="inlineStr">
        <is>
          <t>Children's Corner</t>
        </is>
      </c>
      <c r="B145" s="8" t="inlineStr">
        <is>
          <t>Package</t>
        </is>
      </c>
      <c r="C145" s="8" t="n">
        <v>1</v>
      </c>
      <c r="D145" s="25" t="n">
        <v>15000</v>
      </c>
      <c r="E145" s="26">
        <f>C145*D145</f>
        <v/>
      </c>
      <c r="F145" s="32" t="inlineStr">
        <is>
          <t>[NOTE] Optional – only if families invited. Confirm with SERA</t>
        </is>
      </c>
    </row>
    <row r="146">
      <c r="A146" s="4" t="inlineStr">
        <is>
          <t>Professional MC (Bilingual)</t>
        </is>
      </c>
      <c r="B146" s="5" t="inlineStr">
        <is>
          <t>Full event</t>
        </is>
      </c>
      <c r="C146" s="5" t="n">
        <v>1</v>
      </c>
      <c r="D146" s="22" t="n">
        <v>12000</v>
      </c>
      <c r="E146" s="23">
        <f>C146*D146</f>
        <v/>
      </c>
      <c r="F146" s="24" t="inlineStr">
        <is>
          <t>Eid gala host</t>
        </is>
      </c>
    </row>
    <row r="147">
      <c r="A147" s="7" t="inlineStr">
        <is>
          <t>Event Branding &amp; Design</t>
        </is>
      </c>
      <c r="B147" s="8" t="inlineStr">
        <is>
          <t>Package</t>
        </is>
      </c>
      <c r="C147" s="8" t="n">
        <v>1</v>
      </c>
      <c r="D147" s="25" t="n">
        <v>16000</v>
      </c>
      <c r="E147" s="26">
        <f>C147*D147</f>
        <v/>
      </c>
      <c r="F147" s="27" t="inlineStr">
        <is>
          <t>Eid-themed invites, backdrop, social media kit, signage, digital assets</t>
        </is>
      </c>
    </row>
    <row r="148">
      <c r="A148" s="11" t="inlineStr">
        <is>
          <t>Subtotal (Before Commission)</t>
        </is>
      </c>
      <c r="B148" s="15" t="n"/>
      <c r="C148" s="15" t="n"/>
      <c r="D148" s="15" t="n"/>
      <c r="E148" s="13">
        <f>SUM(E138:E147)</f>
        <v/>
      </c>
      <c r="F148" s="15" t="n"/>
    </row>
    <row r="149">
      <c r="A149" s="11" t="inlineStr">
        <is>
          <t>Agency Commission (15%)</t>
        </is>
      </c>
      <c r="B149" s="12" t="inlineStr">
        <is>
          <t>15%</t>
        </is>
      </c>
      <c r="C149" s="15" t="n"/>
      <c r="D149" s="15" t="n"/>
      <c r="E149" s="13">
        <f>E148*0.15</f>
        <v/>
      </c>
      <c r="F149" s="28" t="inlineStr">
        <is>
          <t>Agency management, planning &amp; execution fee</t>
        </is>
      </c>
    </row>
    <row r="150">
      <c r="A150" s="29" t="inlineStr">
        <is>
          <t>▶ EVENT 10: Eid Al-Fitr Celebration – TOTAL</t>
        </is>
      </c>
      <c r="B150" s="29" t="n"/>
      <c r="C150" s="29" t="n"/>
      <c r="D150" s="29" t="n"/>
      <c r="E150" s="30">
        <f>E148+E149</f>
        <v/>
      </c>
      <c r="F150" s="29" t="n"/>
    </row>
    <row r="152">
      <c r="A152" s="21" t="inlineStr">
        <is>
          <t>EVENT 11: Creativity &amp; Innovation Day | Date: April 21 | Attendance: 200 | Conference Center</t>
        </is>
      </c>
    </row>
    <row r="153">
      <c r="A153" s="3" t="inlineStr">
        <is>
          <t>Cost Item</t>
        </is>
      </c>
      <c r="B153" s="3" t="inlineStr">
        <is>
          <t>Unit</t>
        </is>
      </c>
      <c r="C153" s="3" t="inlineStr">
        <is>
          <t>Qty</t>
        </is>
      </c>
      <c r="D153" s="3" t="inlineStr">
        <is>
          <t>Unit Price (SAR)</t>
        </is>
      </c>
      <c r="E153" s="3" t="inlineStr">
        <is>
          <t>Total (SAR)</t>
        </is>
      </c>
      <c r="F153" s="3" t="inlineStr">
        <is>
          <t>Notes</t>
        </is>
      </c>
    </row>
    <row r="154">
      <c r="A154" s="4" t="inlineStr">
        <is>
          <t>Venue Rental (Conference + Exhibition)</t>
        </is>
      </c>
      <c r="B154" s="5" t="inlineStr">
        <is>
          <t>Full day</t>
        </is>
      </c>
      <c r="C154" s="5" t="n">
        <v>1</v>
      </c>
      <c r="D154" s="22" t="n">
        <v>38000</v>
      </c>
      <c r="E154" s="23">
        <f>C154*D154</f>
        <v/>
      </c>
      <c r="F154" s="24" t="inlineStr">
        <is>
          <t>Conference center or business hotel with exhibition space</t>
        </is>
      </c>
    </row>
    <row r="155">
      <c r="A155" s="7" t="inlineStr">
        <is>
          <t>Catering (Lunch + 2 Coffee Breaks)</t>
        </is>
      </c>
      <c r="B155" s="8" t="inlineStr">
        <is>
          <t>Per person</t>
        </is>
      </c>
      <c r="C155" s="8" t="n">
        <v>200</v>
      </c>
      <c r="D155" s="25" t="n">
        <v>200</v>
      </c>
      <c r="E155" s="26">
        <f>C155*D155</f>
        <v/>
      </c>
      <c r="F155" s="27" t="inlineStr">
        <is>
          <t>Full-day premium package</t>
        </is>
      </c>
    </row>
    <row r="156">
      <c r="A156" s="4" t="inlineStr">
        <is>
          <t>Innovation Showcase Booths (10 depts)</t>
        </is>
      </c>
      <c r="B156" s="5" t="inlineStr">
        <is>
          <t>Per booth</t>
        </is>
      </c>
      <c r="C156" s="5" t="n">
        <v>10</v>
      </c>
      <c r="D156" s="22" t="n">
        <v>5500</v>
      </c>
      <c r="E156" s="23">
        <f>C156*D156</f>
        <v/>
      </c>
      <c r="F156" s="24" t="inlineStr">
        <is>
          <t>Custom booth design + displays + lighting + interactive</t>
        </is>
      </c>
    </row>
    <row r="157">
      <c r="A157" s="7" t="inlineStr">
        <is>
          <t>Main Stage &amp; Presentation Setup</t>
        </is>
      </c>
      <c r="B157" s="8" t="inlineStr">
        <is>
          <t>Package</t>
        </is>
      </c>
      <c r="C157" s="8" t="n">
        <v>1</v>
      </c>
      <c r="D157" s="25" t="n">
        <v>18000</v>
      </c>
      <c r="E157" s="26">
        <f>C157*D157</f>
        <v/>
      </c>
      <c r="F157" s="27" t="inlineStr">
        <is>
          <t>Stage, LED screen, sound, podium</t>
        </is>
      </c>
    </row>
    <row r="158">
      <c r="A158" s="4" t="inlineStr">
        <is>
          <t>Innovation Awards &amp; Trophies</t>
        </is>
      </c>
      <c r="B158" s="5" t="inlineStr">
        <is>
          <t>Set of 7</t>
        </is>
      </c>
      <c r="C158" s="5" t="n">
        <v>1</v>
      </c>
      <c r="D158" s="22" t="n">
        <v>10000</v>
      </c>
      <c r="E158" s="23">
        <f>C158*D158</f>
        <v/>
      </c>
      <c r="F158" s="24" t="inlineStr">
        <is>
          <t>7 innovation category crystal awards + certificates</t>
        </is>
      </c>
    </row>
    <row r="159">
      <c r="A159" s="7" t="inlineStr">
        <is>
          <t>Keynote Speaker (Innovation Expert)</t>
        </is>
      </c>
      <c r="B159" s="8" t="inlineStr">
        <is>
          <t>Fee</t>
        </is>
      </c>
      <c r="C159" s="8" t="n">
        <v>1</v>
      </c>
      <c r="D159" s="25" t="n">
        <v>25000</v>
      </c>
      <c r="E159" s="26">
        <f>C159*D159</f>
        <v/>
      </c>
      <c r="F159" s="32" t="inlineStr">
        <is>
          <t>[NOTE] Industry expert – price varies by profile</t>
        </is>
      </c>
    </row>
    <row r="160">
      <c r="A160" s="4" t="inlineStr">
        <is>
          <t>Digital Voting / Interactive System</t>
        </is>
      </c>
      <c r="B160" s="5" t="inlineStr">
        <is>
          <t>Rental</t>
        </is>
      </c>
      <c r="C160" s="5" t="n">
        <v>1</v>
      </c>
      <c r="D160" s="22" t="n">
        <v>8000</v>
      </c>
      <c r="E160" s="23">
        <f>C160*D160</f>
        <v/>
      </c>
      <c r="F160" s="24" t="inlineStr">
        <is>
          <t>Audience votes + live results display on screen</t>
        </is>
      </c>
    </row>
    <row r="161">
      <c r="A161" s="7" t="inlineStr">
        <is>
          <t>Photography &amp; Videography</t>
        </is>
      </c>
      <c r="B161" s="8" t="inlineStr">
        <is>
          <t>Package</t>
        </is>
      </c>
      <c r="C161" s="8" t="n">
        <v>1</v>
      </c>
      <c r="D161" s="25" t="n">
        <v>12000</v>
      </c>
      <c r="E161" s="26">
        <f>C161*D161</f>
        <v/>
      </c>
      <c r="F161" s="27" t="inlineStr">
        <is>
          <t>Full day coverage + innovation showcase stories</t>
        </is>
      </c>
    </row>
    <row r="162">
      <c r="A162" s="4" t="inlineStr">
        <is>
          <t>Event Branding &amp; Design</t>
        </is>
      </c>
      <c r="B162" s="5" t="inlineStr">
        <is>
          <t>Package</t>
        </is>
      </c>
      <c r="C162" s="5" t="n">
        <v>1</v>
      </c>
      <c r="D162" s="22" t="n">
        <v>15000</v>
      </c>
      <c r="E162" s="23">
        <f>C162*D162</f>
        <v/>
      </c>
      <c r="F162" s="24" t="inlineStr">
        <is>
          <t>Booth templates, signage, programs, badges, digital content</t>
        </is>
      </c>
    </row>
    <row r="163">
      <c r="A163" s="11" t="inlineStr">
        <is>
          <t>Subtotal (Before Commission)</t>
        </is>
      </c>
      <c r="B163" s="15" t="n"/>
      <c r="C163" s="15" t="n"/>
      <c r="D163" s="15" t="n"/>
      <c r="E163" s="13">
        <f>SUM(E154:E162)</f>
        <v/>
      </c>
      <c r="F163" s="15" t="n"/>
    </row>
    <row r="164">
      <c r="A164" s="11" t="inlineStr">
        <is>
          <t>Agency Commission (15%)</t>
        </is>
      </c>
      <c r="B164" s="12" t="inlineStr">
        <is>
          <t>15%</t>
        </is>
      </c>
      <c r="C164" s="15" t="n"/>
      <c r="D164" s="15" t="n"/>
      <c r="E164" s="13">
        <f>E163*0.15</f>
        <v/>
      </c>
      <c r="F164" s="28" t="inlineStr">
        <is>
          <t>Agency management, planning &amp; execution fee</t>
        </is>
      </c>
    </row>
    <row r="165">
      <c r="A165" s="29" t="inlineStr">
        <is>
          <t>▶ EVENT 11: Creativity &amp; Innovation Day – TOTAL</t>
        </is>
      </c>
      <c r="B165" s="29" t="n"/>
      <c r="C165" s="29" t="n"/>
      <c r="D165" s="29" t="n"/>
      <c r="E165" s="30">
        <f>E163+E164</f>
        <v/>
      </c>
      <c r="F165" s="29" t="n"/>
    </row>
    <row r="167">
      <c r="A167" s="21" t="inlineStr">
        <is>
          <t>EVENT 12: International Tea Day | Date: May 21 | Attendance: 250 | SERA HQ</t>
        </is>
      </c>
    </row>
    <row r="168">
      <c r="A168" s="3" t="inlineStr">
        <is>
          <t>Cost Item</t>
        </is>
      </c>
      <c r="B168" s="3" t="inlineStr">
        <is>
          <t>Unit</t>
        </is>
      </c>
      <c r="C168" s="3" t="inlineStr">
        <is>
          <t>Qty</t>
        </is>
      </c>
      <c r="D168" s="3" t="inlineStr">
        <is>
          <t>Unit Price (SAR)</t>
        </is>
      </c>
      <c r="E168" s="3" t="inlineStr">
        <is>
          <t>Total (SAR)</t>
        </is>
      </c>
      <c r="F168" s="3" t="inlineStr">
        <is>
          <t>Notes</t>
        </is>
      </c>
    </row>
    <row r="169">
      <c r="A169" s="4" t="inlineStr">
        <is>
          <t>Venue</t>
        </is>
      </c>
      <c r="B169" s="5" t="inlineStr">
        <is>
          <t>SERA HQ</t>
        </is>
      </c>
      <c r="C169" s="5" t="n">
        <v>1</v>
      </c>
      <c r="D169" s="22" t="n">
        <v>0</v>
      </c>
      <c r="E169" s="23">
        <f>C169*D169</f>
        <v/>
      </c>
      <c r="F169" s="24" t="inlineStr">
        <is>
          <t>Internal – no cost</t>
        </is>
      </c>
    </row>
    <row r="170">
      <c r="A170" s="7" t="inlineStr">
        <is>
          <t>Professional Tea Stations (3 types)</t>
        </is>
      </c>
      <c r="B170" s="8" t="inlineStr">
        <is>
          <t>Package</t>
        </is>
      </c>
      <c r="C170" s="8" t="n">
        <v>1</v>
      </c>
      <c r="D170" s="25" t="n">
        <v>20000</v>
      </c>
      <c r="E170" s="26">
        <f>C170*D170</f>
        <v/>
      </c>
      <c r="F170" s="27" t="inlineStr">
        <is>
          <t>Arabic, English high tea, Asian ceremony with experts</t>
        </is>
      </c>
    </row>
    <row r="171">
      <c r="A171" s="4" t="inlineStr">
        <is>
          <t>Tea Snacks &amp; Gourmet Pastries</t>
        </is>
      </c>
      <c r="B171" s="5" t="inlineStr">
        <is>
          <t>Per person</t>
        </is>
      </c>
      <c r="C171" s="5" t="n">
        <v>250</v>
      </c>
      <c r="D171" s="22" t="n">
        <v>50</v>
      </c>
      <c r="E171" s="23">
        <f>C171*D171</f>
        <v/>
      </c>
      <c r="F171" s="24" t="inlineStr">
        <is>
          <t>Curated tea pairings, premium pastries</t>
        </is>
      </c>
    </row>
    <row r="172">
      <c r="A172" s="7" t="inlineStr">
        <is>
          <t>Tea-Themed Décor &amp; Setup</t>
        </is>
      </c>
      <c r="B172" s="8" t="inlineStr">
        <is>
          <t>Package</t>
        </is>
      </c>
      <c r="C172" s="8" t="n">
        <v>1</v>
      </c>
      <c r="D172" s="25" t="n">
        <v>8000</v>
      </c>
      <c r="E172" s="26">
        <f>C172*D172</f>
        <v/>
      </c>
      <c r="F172" s="27" t="inlineStr">
        <is>
          <t>Full theming of common area</t>
        </is>
      </c>
    </row>
    <row r="173">
      <c r="A173" s="4" t="inlineStr">
        <is>
          <t>Educational Materials &amp; Displays</t>
        </is>
      </c>
      <c r="B173" s="5" t="inlineStr">
        <is>
          <t>Package</t>
        </is>
      </c>
      <c r="C173" s="5" t="n">
        <v>1</v>
      </c>
      <c r="D173" s="22" t="n">
        <v>4000</v>
      </c>
      <c r="E173" s="23">
        <f>C173*D173</f>
        <v/>
      </c>
      <c r="F173" s="24" t="inlineStr">
        <is>
          <t>Tea culture info + branding + takeaway samples</t>
        </is>
      </c>
    </row>
    <row r="174">
      <c r="A174" s="7" t="inlineStr">
        <is>
          <t>Photography</t>
        </is>
      </c>
      <c r="B174" s="8" t="inlineStr">
        <is>
          <t>2 hours</t>
        </is>
      </c>
      <c r="C174" s="8" t="n">
        <v>1</v>
      </c>
      <c r="D174" s="25" t="n">
        <v>3500</v>
      </c>
      <c r="E174" s="26">
        <f>C174*D174</f>
        <v/>
      </c>
      <c r="F174" s="27" t="inlineStr">
        <is>
          <t>Event coverage</t>
        </is>
      </c>
    </row>
    <row r="175">
      <c r="A175" s="11" t="inlineStr">
        <is>
          <t>Subtotal (Before Commission)</t>
        </is>
      </c>
      <c r="B175" s="15" t="n"/>
      <c r="C175" s="15" t="n"/>
      <c r="D175" s="15" t="n"/>
      <c r="E175" s="13">
        <f>SUM(E169:E174)</f>
        <v/>
      </c>
      <c r="F175" s="15" t="n"/>
    </row>
    <row r="176">
      <c r="A176" s="11" t="inlineStr">
        <is>
          <t>Agency Commission (15%)</t>
        </is>
      </c>
      <c r="B176" s="12" t="inlineStr">
        <is>
          <t>15%</t>
        </is>
      </c>
      <c r="C176" s="15" t="n"/>
      <c r="D176" s="15" t="n"/>
      <c r="E176" s="13">
        <f>E175*0.15</f>
        <v/>
      </c>
      <c r="F176" s="28" t="inlineStr">
        <is>
          <t>Agency management, planning &amp; execution fee</t>
        </is>
      </c>
    </row>
    <row r="177">
      <c r="A177" s="29" t="inlineStr">
        <is>
          <t>▶ EVENT 12: International Tea Day – TOTAL</t>
        </is>
      </c>
      <c r="B177" s="29" t="n"/>
      <c r="C177" s="29" t="n"/>
      <c r="D177" s="29" t="n"/>
      <c r="E177" s="30">
        <f>E175+E176</f>
        <v/>
      </c>
      <c r="F177" s="29" t="n"/>
    </row>
    <row r="179">
      <c r="A179" s="21" t="inlineStr">
        <is>
          <t>EVENT 13: Joy Clothing Drive (كسوة فرح) | Date: May | Attendance: 200 | SERA HQ</t>
        </is>
      </c>
    </row>
    <row r="180">
      <c r="A180" s="3" t="inlineStr">
        <is>
          <t>Cost Item</t>
        </is>
      </c>
      <c r="B180" s="3" t="inlineStr">
        <is>
          <t>Unit</t>
        </is>
      </c>
      <c r="C180" s="3" t="inlineStr">
        <is>
          <t>Qty</t>
        </is>
      </c>
      <c r="D180" s="3" t="inlineStr">
        <is>
          <t>Unit Price (SAR)</t>
        </is>
      </c>
      <c r="E180" s="3" t="inlineStr">
        <is>
          <t>Total (SAR)</t>
        </is>
      </c>
      <c r="F180" s="3" t="inlineStr">
        <is>
          <t>Notes</t>
        </is>
      </c>
    </row>
    <row r="181">
      <c r="A181" s="4" t="inlineStr">
        <is>
          <t>Venue</t>
        </is>
      </c>
      <c r="B181" s="5" t="inlineStr">
        <is>
          <t>SERA HQ</t>
        </is>
      </c>
      <c r="C181" s="5" t="n">
        <v>1</v>
      </c>
      <c r="D181" s="22" t="n">
        <v>0</v>
      </c>
      <c r="E181" s="23">
        <f>C181*D181</f>
        <v/>
      </c>
      <c r="F181" s="24" t="inlineStr">
        <is>
          <t>Internal – no rental cost</t>
        </is>
      </c>
    </row>
    <row r="182">
      <c r="A182" s="7" t="inlineStr">
        <is>
          <t>Collection Booths &amp; Sorting Setup</t>
        </is>
      </c>
      <c r="B182" s="8" t="inlineStr">
        <is>
          <t>Package</t>
        </is>
      </c>
      <c r="C182" s="8" t="n">
        <v>1</v>
      </c>
      <c r="D182" s="25" t="n">
        <v>8000</v>
      </c>
      <c r="E182" s="26">
        <f>C182*D182</f>
        <v/>
      </c>
      <c r="F182" s="27" t="inlineStr">
        <is>
          <t>Collection points, sorting tables, storage boxes</t>
        </is>
      </c>
    </row>
    <row r="183">
      <c r="A183" s="4" t="inlineStr">
        <is>
          <t>Awareness Campaign Materials</t>
        </is>
      </c>
      <c r="B183" s="5" t="inlineStr">
        <is>
          <t>Package</t>
        </is>
      </c>
      <c r="C183" s="5" t="n">
        <v>1</v>
      </c>
      <c r="D183" s="22" t="n">
        <v>8000</v>
      </c>
      <c r="E183" s="23">
        <f>C183*D183</f>
        <v/>
      </c>
      <c r="F183" s="24" t="inlineStr">
        <is>
          <t>Posters, emails, digital screens, internal comms</t>
        </is>
      </c>
    </row>
    <row r="184">
      <c r="A184" s="7" t="inlineStr">
        <is>
          <t>Volunteer Coordination</t>
        </is>
      </c>
      <c r="B184" s="8" t="inlineStr">
        <is>
          <t>Package</t>
        </is>
      </c>
      <c r="C184" s="8" t="n">
        <v>1</v>
      </c>
      <c r="D184" s="25" t="n">
        <v>5000</v>
      </c>
      <c r="E184" s="26">
        <f>C184*D184</f>
        <v/>
      </c>
      <c r="F184" s="27" t="inlineStr">
        <is>
          <t>Volunteer management, logistics, distribution plan</t>
        </is>
      </c>
    </row>
    <row r="185">
      <c r="A185" s="4" t="inlineStr">
        <is>
          <t>Sorting &amp; Distribution Supplies</t>
        </is>
      </c>
      <c r="B185" s="5" t="inlineStr">
        <is>
          <t>Package</t>
        </is>
      </c>
      <c r="C185" s="5" t="n">
        <v>1</v>
      </c>
      <c r="D185" s="22" t="n">
        <v>6000</v>
      </c>
      <c r="E185" s="23">
        <f>C185*D185</f>
        <v/>
      </c>
      <c r="F185" s="24" t="inlineStr">
        <is>
          <t>Bags, labels, transport boxes, cleaning supplies</t>
        </is>
      </c>
    </row>
    <row r="186">
      <c r="A186" s="7" t="inlineStr">
        <is>
          <t>Photography &amp; Videography</t>
        </is>
      </c>
      <c r="B186" s="8" t="inlineStr">
        <is>
          <t>Package</t>
        </is>
      </c>
      <c r="C186" s="8" t="n">
        <v>1</v>
      </c>
      <c r="D186" s="25" t="n">
        <v>5000</v>
      </c>
      <c r="E186" s="26">
        <f>C186*D186</f>
        <v/>
      </c>
      <c r="F186" s="27" t="inlineStr">
        <is>
          <t>CSR documentation + highlight video</t>
        </is>
      </c>
    </row>
    <row r="187">
      <c r="A187" s="4" t="inlineStr">
        <is>
          <t>Event Branding &amp; Design</t>
        </is>
      </c>
      <c r="B187" s="5" t="inlineStr">
        <is>
          <t>Package</t>
        </is>
      </c>
      <c r="C187" s="5" t="n">
        <v>1</v>
      </c>
      <c r="D187" s="22" t="n">
        <v>12000</v>
      </c>
      <c r="E187" s="23">
        <f>C187*D187</f>
        <v/>
      </c>
      <c r="F187" s="24" t="inlineStr">
        <is>
          <t>Campaign signage, volunteer badges, social media kit</t>
        </is>
      </c>
    </row>
    <row r="188">
      <c r="A188" s="11" t="inlineStr">
        <is>
          <t>Subtotal (Before Commission)</t>
        </is>
      </c>
      <c r="B188" s="15" t="n"/>
      <c r="C188" s="15" t="n"/>
      <c r="D188" s="15" t="n"/>
      <c r="E188" s="13">
        <f>SUM(E181:E187)</f>
        <v/>
      </c>
      <c r="F188" s="15" t="n"/>
    </row>
    <row r="189">
      <c r="A189" s="11" t="inlineStr">
        <is>
          <t>Agency Commission (15%)</t>
        </is>
      </c>
      <c r="B189" s="12" t="inlineStr">
        <is>
          <t>15%</t>
        </is>
      </c>
      <c r="C189" s="15" t="n"/>
      <c r="D189" s="15" t="n"/>
      <c r="E189" s="13">
        <f>E188*0.15</f>
        <v/>
      </c>
      <c r="F189" s="28" t="inlineStr">
        <is>
          <t>Agency management, planning &amp; execution fee</t>
        </is>
      </c>
    </row>
    <row r="190">
      <c r="A190" s="29" t="inlineStr">
        <is>
          <t>▶ EVENT 13: Joy Clothing Drive (كسوة فرح) – TOTAL</t>
        </is>
      </c>
      <c r="B190" s="29" t="n"/>
      <c r="C190" s="29" t="n"/>
      <c r="D190" s="29" t="n"/>
      <c r="E190" s="30">
        <f>E188+E189</f>
        <v/>
      </c>
      <c r="F190" s="29" t="n"/>
    </row>
    <row r="192">
      <c r="A192" s="21" t="inlineStr">
        <is>
          <t>EVENT 14: World No Tobacco Day (اليوم العالمي لمكافحة التدخين) | Date: May 31 | Attendance: 200 | SERA HQ</t>
        </is>
      </c>
    </row>
    <row r="193">
      <c r="A193" s="3" t="inlineStr">
        <is>
          <t>Cost Item</t>
        </is>
      </c>
      <c r="B193" s="3" t="inlineStr">
        <is>
          <t>Unit</t>
        </is>
      </c>
      <c r="C193" s="3" t="inlineStr">
        <is>
          <t>Qty</t>
        </is>
      </c>
      <c r="D193" s="3" t="inlineStr">
        <is>
          <t>Unit Price (SAR)</t>
        </is>
      </c>
      <c r="E193" s="3" t="inlineStr">
        <is>
          <t>Total (SAR)</t>
        </is>
      </c>
      <c r="F193" s="3" t="inlineStr">
        <is>
          <t>Notes</t>
        </is>
      </c>
    </row>
    <row r="194">
      <c r="A194" s="4" t="inlineStr">
        <is>
          <t>Venue</t>
        </is>
      </c>
      <c r="B194" s="5" t="inlineStr">
        <is>
          <t>SERA HQ</t>
        </is>
      </c>
      <c r="C194" s="5" t="n">
        <v>1</v>
      </c>
      <c r="D194" s="22" t="n">
        <v>0</v>
      </c>
      <c r="E194" s="23">
        <f>C194*D194</f>
        <v/>
      </c>
      <c r="F194" s="24" t="inlineStr">
        <is>
          <t>Internal – no rental cost</t>
        </is>
      </c>
    </row>
    <row r="195">
      <c r="A195" s="7" t="inlineStr">
        <is>
          <t>Health Expert Speaker</t>
        </is>
      </c>
      <c r="B195" s="8" t="inlineStr">
        <is>
          <t>Fee</t>
        </is>
      </c>
      <c r="C195" s="8" t="n">
        <v>1</v>
      </c>
      <c r="D195" s="25" t="n">
        <v>12000</v>
      </c>
      <c r="E195" s="26">
        <f>C195*D195</f>
        <v/>
      </c>
      <c r="F195" s="27" t="inlineStr">
        <is>
          <t>Pulmonologist or smoking cessation specialist</t>
        </is>
      </c>
    </row>
    <row r="196">
      <c r="A196" s="4" t="inlineStr">
        <is>
          <t>Awareness Materials &amp; Displays</t>
        </is>
      </c>
      <c r="B196" s="5" t="inlineStr">
        <is>
          <t>Package</t>
        </is>
      </c>
      <c r="C196" s="5" t="n">
        <v>1</v>
      </c>
      <c r="D196" s="22" t="n">
        <v>10000</v>
      </c>
      <c r="E196" s="23">
        <f>C196*D196</f>
        <v/>
      </c>
      <c r="F196" s="24" t="inlineStr">
        <is>
          <t>Health impact displays, lung models, interactive demos</t>
        </is>
      </c>
    </row>
    <row r="197">
      <c r="A197" s="7" t="inlineStr">
        <is>
          <t>Nicotine Dependency Assessment Station</t>
        </is>
      </c>
      <c r="B197" s="8" t="inlineStr">
        <is>
          <t>Package</t>
        </is>
      </c>
      <c r="C197" s="8" t="n">
        <v>1</v>
      </c>
      <c r="D197" s="25" t="n">
        <v>8000</v>
      </c>
      <c r="E197" s="26">
        <f>C197*D197</f>
        <v/>
      </c>
      <c r="F197" s="27" t="inlineStr">
        <is>
          <t>CO breath test, health screening station</t>
        </is>
      </c>
    </row>
    <row r="198">
      <c r="A198" s="4" t="inlineStr">
        <is>
          <t>Light Healthy Refreshments</t>
        </is>
      </c>
      <c r="B198" s="5" t="inlineStr">
        <is>
          <t>Per person</t>
        </is>
      </c>
      <c r="C198" s="5" t="n">
        <v>200</v>
      </c>
      <c r="D198" s="22" t="n">
        <v>40</v>
      </c>
      <c r="E198" s="23">
        <f>C198*D198</f>
        <v/>
      </c>
      <c r="F198" s="24" t="inlineStr">
        <is>
          <t>Healthy snacks, fruits, juices, herbal teas</t>
        </is>
      </c>
    </row>
    <row r="199">
      <c r="A199" s="7" t="inlineStr">
        <is>
          <t>Awareness Giveaways</t>
        </is>
      </c>
      <c r="B199" s="8" t="inlineStr">
        <is>
          <t>Per person</t>
        </is>
      </c>
      <c r="C199" s="8" t="n">
        <v>200</v>
      </c>
      <c r="D199" s="25" t="n">
        <v>28</v>
      </c>
      <c r="E199" s="26">
        <f>C199*D199</f>
        <v/>
      </c>
      <c r="F199" s="27" t="inlineStr">
        <is>
          <t>Anti-smoking wristbands, stress balls, info booklets</t>
        </is>
      </c>
    </row>
    <row r="200">
      <c r="A200" s="4" t="inlineStr">
        <is>
          <t>Photography</t>
        </is>
      </c>
      <c r="B200" s="5" t="inlineStr">
        <is>
          <t>2 hours</t>
        </is>
      </c>
      <c r="C200" s="5" t="n">
        <v>1</v>
      </c>
      <c r="D200" s="22" t="n">
        <v>3000</v>
      </c>
      <c r="E200" s="23">
        <f>C200*D200</f>
        <v/>
      </c>
      <c r="F200" s="24" t="inlineStr">
        <is>
          <t>Event documentation</t>
        </is>
      </c>
    </row>
    <row r="201">
      <c r="A201" s="7" t="inlineStr">
        <is>
          <t>Event Branding &amp; Design</t>
        </is>
      </c>
      <c r="B201" s="8" t="inlineStr">
        <is>
          <t>Package</t>
        </is>
      </c>
      <c r="C201" s="8" t="n">
        <v>1</v>
      </c>
      <c r="D201" s="25" t="n">
        <v>14000</v>
      </c>
      <c r="E201" s="26">
        <f>C201*D201</f>
        <v/>
      </c>
      <c r="F201" s="27" t="inlineStr">
        <is>
          <t>Health-themed signage, displays, social media kit</t>
        </is>
      </c>
    </row>
    <row r="202">
      <c r="A202" s="11" t="inlineStr">
        <is>
          <t>Subtotal (Before Commission)</t>
        </is>
      </c>
      <c r="B202" s="15" t="n"/>
      <c r="C202" s="15" t="n"/>
      <c r="D202" s="15" t="n"/>
      <c r="E202" s="13">
        <f>SUM(E194:E201)</f>
        <v/>
      </c>
      <c r="F202" s="15" t="n"/>
    </row>
    <row r="203">
      <c r="A203" s="11" t="inlineStr">
        <is>
          <t>Agency Commission (15%)</t>
        </is>
      </c>
      <c r="B203" s="12" t="inlineStr">
        <is>
          <t>15%</t>
        </is>
      </c>
      <c r="C203" s="15" t="n"/>
      <c r="D203" s="15" t="n"/>
      <c r="E203" s="13">
        <f>E202*0.15</f>
        <v/>
      </c>
      <c r="F203" s="28" t="inlineStr">
        <is>
          <t>Agency management, planning &amp; execution fee</t>
        </is>
      </c>
    </row>
    <row r="204">
      <c r="A204" s="29" t="inlineStr">
        <is>
          <t>▶ EVENT 14: World No Tobacco Day (اليوم العالمي لمكافحة التدخين) – TOTAL</t>
        </is>
      </c>
      <c r="B204" s="29" t="n"/>
      <c r="C204" s="29" t="n"/>
      <c r="D204" s="29" t="n"/>
      <c r="E204" s="30">
        <f>E202+E203</f>
        <v/>
      </c>
      <c r="F204" s="29" t="n"/>
    </row>
    <row r="206">
      <c r="A206" s="21" t="inlineStr">
        <is>
          <t>EVENT 15: Blood Donation Day | Date: June 14 | Attendance: 120 | SERA HQ</t>
        </is>
      </c>
    </row>
    <row r="207">
      <c r="A207" s="3" t="inlineStr">
        <is>
          <t>Cost Item</t>
        </is>
      </c>
      <c r="B207" s="3" t="inlineStr">
        <is>
          <t>Unit</t>
        </is>
      </c>
      <c r="C207" s="3" t="inlineStr">
        <is>
          <t>Qty</t>
        </is>
      </c>
      <c r="D207" s="3" t="inlineStr">
        <is>
          <t>Unit Price (SAR)</t>
        </is>
      </c>
      <c r="E207" s="3" t="inlineStr">
        <is>
          <t>Total (SAR)</t>
        </is>
      </c>
      <c r="F207" s="3" t="inlineStr">
        <is>
          <t>Notes</t>
        </is>
      </c>
    </row>
    <row r="208">
      <c r="A208" s="4" t="inlineStr">
        <is>
          <t>Venue Setup</t>
        </is>
      </c>
      <c r="B208" s="5" t="inlineStr">
        <is>
          <t>SERA HQ</t>
        </is>
      </c>
      <c r="C208" s="5" t="n">
        <v>1</v>
      </c>
      <c r="D208" s="22" t="n">
        <v>0</v>
      </c>
      <c r="E208" s="23">
        <f>C208*D208</f>
        <v/>
      </c>
      <c r="F208" s="24" t="inlineStr">
        <is>
          <t>Internal + Red Crescent coordination</t>
        </is>
      </c>
    </row>
    <row r="209">
      <c r="A209" s="7" t="inlineStr">
        <is>
          <t>Pre-event Awareness Campaign</t>
        </is>
      </c>
      <c r="B209" s="8" t="inlineStr">
        <is>
          <t>Package</t>
        </is>
      </c>
      <c r="C209" s="8" t="n">
        <v>1</v>
      </c>
      <c r="D209" s="25" t="n">
        <v>10000</v>
      </c>
      <c r="E209" s="26">
        <f>C209*D209</f>
        <v/>
      </c>
      <c r="F209" s="27" t="inlineStr">
        <is>
          <t>Posters, emails, digital screens, social, internal comms</t>
        </is>
      </c>
    </row>
    <row r="210">
      <c r="A210" s="4" t="inlineStr">
        <is>
          <t>Donor Refreshments</t>
        </is>
      </c>
      <c r="B210" s="5" t="inlineStr">
        <is>
          <t>Per donor</t>
        </is>
      </c>
      <c r="C210" s="5" t="n">
        <v>120</v>
      </c>
      <c r="D210" s="22" t="n">
        <v>60</v>
      </c>
      <c r="E210" s="23">
        <f>C210*D210</f>
        <v/>
      </c>
      <c r="F210" s="24" t="inlineStr">
        <is>
          <t>Juice, snacks, recovery food, premium options</t>
        </is>
      </c>
    </row>
    <row r="211">
      <c r="A211" s="7" t="inlineStr">
        <is>
          <t>Donor Appreciation Gifts</t>
        </is>
      </c>
      <c r="B211" s="8" t="inlineStr">
        <is>
          <t>Per donor</t>
        </is>
      </c>
      <c r="C211" s="8" t="n">
        <v>120</v>
      </c>
      <c r="D211" s="25" t="n">
        <v>55</v>
      </c>
      <c r="E211" s="26">
        <f>C211*D211</f>
        <v/>
      </c>
      <c r="F211" s="27" t="inlineStr">
        <is>
          <t>Branded thank-you gift set</t>
        </is>
      </c>
    </row>
    <row r="212">
      <c r="A212" s="4" t="inlineStr">
        <is>
          <t>Certificates of Appreciation</t>
        </is>
      </c>
      <c r="B212" s="5" t="inlineStr">
        <is>
          <t>Per donor</t>
        </is>
      </c>
      <c r="C212" s="5" t="n">
        <v>120</v>
      </c>
      <c r="D212" s="22" t="n">
        <v>25</v>
      </c>
      <c r="E212" s="23">
        <f>C212*D212</f>
        <v/>
      </c>
      <c r="F212" s="24" t="inlineStr">
        <is>
          <t>Premium branded certificates</t>
        </is>
      </c>
    </row>
    <row r="213">
      <c r="A213" s="7" t="inlineStr">
        <is>
          <t>Photography</t>
        </is>
      </c>
      <c r="B213" s="8" t="inlineStr">
        <is>
          <t>Full day</t>
        </is>
      </c>
      <c r="C213" s="8" t="n">
        <v>1</v>
      </c>
      <c r="D213" s="25" t="n">
        <v>3500</v>
      </c>
      <c r="E213" s="26">
        <f>C213*D213</f>
        <v/>
      </c>
      <c r="F213" s="27" t="inlineStr">
        <is>
          <t>Documentation</t>
        </is>
      </c>
    </row>
    <row r="214">
      <c r="A214" s="4" t="inlineStr">
        <is>
          <t>Red Crescent Coordination</t>
        </is>
      </c>
      <c r="B214" s="5" t="inlineStr">
        <is>
          <t>Partnership</t>
        </is>
      </c>
      <c r="C214" s="5" t="n">
        <v>1</v>
      </c>
      <c r="D214" s="22" t="n">
        <v>0</v>
      </c>
      <c r="E214" s="23">
        <f>C214*D214</f>
        <v/>
      </c>
      <c r="F214" s="31" t="inlineStr">
        <is>
          <t>[NOTE] They provide equipment &amp; staff – confirm partnership</t>
        </is>
      </c>
    </row>
    <row r="215">
      <c r="A215" s="11" t="inlineStr">
        <is>
          <t>Subtotal (Before Commission)</t>
        </is>
      </c>
      <c r="B215" s="15" t="n"/>
      <c r="C215" s="15" t="n"/>
      <c r="D215" s="15" t="n"/>
      <c r="E215" s="13">
        <f>SUM(E208:E214)</f>
        <v/>
      </c>
      <c r="F215" s="15" t="n"/>
    </row>
    <row r="216">
      <c r="A216" s="11" t="inlineStr">
        <is>
          <t>Agency Commission (15%)</t>
        </is>
      </c>
      <c r="B216" s="12" t="inlineStr">
        <is>
          <t>15%</t>
        </is>
      </c>
      <c r="C216" s="15" t="n"/>
      <c r="D216" s="15" t="n"/>
      <c r="E216" s="13">
        <f>E215*0.15</f>
        <v/>
      </c>
      <c r="F216" s="28" t="inlineStr">
        <is>
          <t>Agency management, planning &amp; execution fee</t>
        </is>
      </c>
    </row>
    <row r="217">
      <c r="A217" s="29" t="inlineStr">
        <is>
          <t>▶ EVENT 15: Blood Donation Day – TOTAL</t>
        </is>
      </c>
      <c r="B217" s="29" t="n"/>
      <c r="C217" s="29" t="n"/>
      <c r="D217" s="29" t="n"/>
      <c r="E217" s="30">
        <f>E215+E216</f>
        <v/>
      </c>
      <c r="F217" s="29" t="n"/>
    </row>
    <row r="219">
      <c r="A219" s="21" t="inlineStr">
        <is>
          <t>EVENT 16: Father's Day | Date: June 15 | Attendance: 160 | Event Space / Restaurant</t>
        </is>
      </c>
    </row>
    <row r="220">
      <c r="A220" s="3" t="inlineStr">
        <is>
          <t>Cost Item</t>
        </is>
      </c>
      <c r="B220" s="3" t="inlineStr">
        <is>
          <t>Unit</t>
        </is>
      </c>
      <c r="C220" s="3" t="inlineStr">
        <is>
          <t>Qty</t>
        </is>
      </c>
      <c r="D220" s="3" t="inlineStr">
        <is>
          <t>Unit Price (SAR)</t>
        </is>
      </c>
      <c r="E220" s="3" t="inlineStr">
        <is>
          <t>Total (SAR)</t>
        </is>
      </c>
      <c r="F220" s="3" t="inlineStr">
        <is>
          <t>Notes</t>
        </is>
      </c>
    </row>
    <row r="221">
      <c r="A221" s="4" t="inlineStr">
        <is>
          <t>Venue + Lunch/Dinner</t>
        </is>
      </c>
      <c r="B221" s="5" t="inlineStr">
        <is>
          <t>Per person</t>
        </is>
      </c>
      <c r="C221" s="5" t="n">
        <v>160</v>
      </c>
      <c r="D221" s="22" t="n">
        <v>260</v>
      </c>
      <c r="E221" s="23">
        <f>C221*D221</f>
        <v/>
      </c>
      <c r="F221" s="24" t="inlineStr">
        <is>
          <t>Private premium venue booking</t>
        </is>
      </c>
    </row>
    <row r="222">
      <c r="A222" s="7" t="inlineStr">
        <is>
          <t>Father's Day Gifts</t>
        </is>
      </c>
      <c r="B222" s="8" t="inlineStr">
        <is>
          <t>Per person</t>
        </is>
      </c>
      <c r="C222" s="8" t="n">
        <v>80</v>
      </c>
      <c r="D222" s="25" t="n">
        <v>160</v>
      </c>
      <c r="E222" s="26">
        <f>C222*D222</f>
        <v/>
      </c>
      <c r="F222" s="32" t="inlineStr">
        <is>
          <t>[NOTE] Assumed 50% are fathers – adjust per actual</t>
        </is>
      </c>
    </row>
    <row r="223">
      <c r="A223" s="4" t="inlineStr">
        <is>
          <t>Team Activities / Entertainment</t>
        </is>
      </c>
      <c r="B223" s="5" t="inlineStr">
        <is>
          <t>Package</t>
        </is>
      </c>
      <c r="C223" s="5" t="n">
        <v>1</v>
      </c>
      <c r="D223" s="22" t="n">
        <v>15000</v>
      </c>
      <c r="E223" s="23">
        <f>C223*D223</f>
        <v/>
      </c>
      <c r="F223" s="24" t="inlineStr">
        <is>
          <t>Team competitions, entertainment, prizes</t>
        </is>
      </c>
    </row>
    <row r="224">
      <c r="A224" s="7" t="inlineStr">
        <is>
          <t>Photography</t>
        </is>
      </c>
      <c r="B224" s="8" t="inlineStr">
        <is>
          <t>3 hours</t>
        </is>
      </c>
      <c r="C224" s="8" t="n">
        <v>1</v>
      </c>
      <c r="D224" s="25" t="n">
        <v>4500</v>
      </c>
      <c r="E224" s="26">
        <f>C224*D224</f>
        <v/>
      </c>
      <c r="F224" s="27" t="inlineStr">
        <is>
          <t>Event coverage</t>
        </is>
      </c>
    </row>
    <row r="225">
      <c r="A225" s="4" t="inlineStr">
        <is>
          <t>Event Branding &amp; Design</t>
        </is>
      </c>
      <c r="B225" s="5" t="inlineStr">
        <is>
          <t>Package</t>
        </is>
      </c>
      <c r="C225" s="5" t="n">
        <v>1</v>
      </c>
      <c r="D225" s="22" t="n">
        <v>14000</v>
      </c>
      <c r="E225" s="23">
        <f>C225*D225</f>
        <v/>
      </c>
      <c r="F225" s="24" t="inlineStr">
        <is>
          <t>Invitations, signage, décor, social media kit, digital assets</t>
        </is>
      </c>
    </row>
    <row r="226">
      <c r="A226" s="11" t="inlineStr">
        <is>
          <t>Subtotal (Before Commission)</t>
        </is>
      </c>
      <c r="B226" s="15" t="n"/>
      <c r="C226" s="15" t="n"/>
      <c r="D226" s="15" t="n"/>
      <c r="E226" s="13">
        <f>SUM(E221:E225)</f>
        <v/>
      </c>
      <c r="F226" s="15" t="n"/>
    </row>
    <row r="227">
      <c r="A227" s="11" t="inlineStr">
        <is>
          <t>Agency Commission (15%)</t>
        </is>
      </c>
      <c r="B227" s="12" t="inlineStr">
        <is>
          <t>15%</t>
        </is>
      </c>
      <c r="C227" s="15" t="n"/>
      <c r="D227" s="15" t="n"/>
      <c r="E227" s="13">
        <f>E226*0.15</f>
        <v/>
      </c>
      <c r="F227" s="28" t="inlineStr">
        <is>
          <t>Agency management, planning &amp; execution fee</t>
        </is>
      </c>
    </row>
    <row r="228">
      <c r="A228" s="29" t="inlineStr">
        <is>
          <t>▶ EVENT 16: Father's Day – TOTAL</t>
        </is>
      </c>
      <c r="B228" s="29" t="n"/>
      <c r="C228" s="29" t="n"/>
      <c r="D228" s="29" t="n"/>
      <c r="E228" s="30">
        <f>E226+E227</f>
        <v/>
      </c>
      <c r="F228" s="29" t="n"/>
    </row>
    <row r="230">
      <c r="A230" s="21" t="inlineStr">
        <is>
          <t>EVENT 17: Eid Al-Adha Celebration | Date: Mid-June | Attendance: 300 | 5-Star Hotel – Grand Gala</t>
        </is>
      </c>
    </row>
    <row r="231">
      <c r="A231" s="3" t="inlineStr">
        <is>
          <t>Cost Item</t>
        </is>
      </c>
      <c r="B231" s="3" t="inlineStr">
        <is>
          <t>Unit</t>
        </is>
      </c>
      <c r="C231" s="3" t="inlineStr">
        <is>
          <t>Qty</t>
        </is>
      </c>
      <c r="D231" s="3" t="inlineStr">
        <is>
          <t>Unit Price (SAR)</t>
        </is>
      </c>
      <c r="E231" s="3" t="inlineStr">
        <is>
          <t>Total (SAR)</t>
        </is>
      </c>
      <c r="F231" s="3" t="inlineStr">
        <is>
          <t>Notes</t>
        </is>
      </c>
    </row>
    <row r="232">
      <c r="A232" s="4" t="inlineStr">
        <is>
          <t>Venue Rental (Grand Ballroom)</t>
        </is>
      </c>
      <c r="B232" s="5" t="inlineStr">
        <is>
          <t>Evening</t>
        </is>
      </c>
      <c r="C232" s="5" t="n">
        <v>1</v>
      </c>
      <c r="D232" s="22" t="n">
        <v>58000</v>
      </c>
      <c r="E232" s="23">
        <f>C232*D232</f>
        <v/>
      </c>
      <c r="F232" s="24" t="inlineStr">
        <is>
          <t>Premium 5-star hotel</t>
        </is>
      </c>
    </row>
    <row r="233">
      <c r="A233" s="7" t="inlineStr">
        <is>
          <t>Catering – Eid Al-Adha Gala Dinner</t>
        </is>
      </c>
      <c r="B233" s="8" t="inlineStr">
        <is>
          <t>Per person</t>
        </is>
      </c>
      <c r="C233" s="8" t="n">
        <v>300</v>
      </c>
      <c r="D233" s="25" t="n">
        <v>360</v>
      </c>
      <c r="E233" s="26">
        <f>C233*D233</f>
        <v/>
      </c>
      <c r="F233" s="27" t="inlineStr">
        <is>
          <t>Traditional lamb feast + premium menu + live stations</t>
        </is>
      </c>
    </row>
    <row r="234">
      <c r="A234" s="4" t="inlineStr">
        <is>
          <t>Stage &amp; Full Eid Décor (Arabian theme)</t>
        </is>
      </c>
      <c r="B234" s="5" t="inlineStr">
        <is>
          <t>Package</t>
        </is>
      </c>
      <c r="C234" s="5" t="n">
        <v>1</v>
      </c>
      <c r="D234" s="22" t="n">
        <v>42000</v>
      </c>
      <c r="E234" s="23">
        <f>C234*D234</f>
        <v/>
      </c>
      <c r="F234" s="24" t="inlineStr">
        <is>
          <t>Traditional Arabian Eid Al-Adha theme + entrance</t>
        </is>
      </c>
    </row>
    <row r="235">
      <c r="A235" s="7" t="inlineStr">
        <is>
          <t>Entertainment – Ardah + Live Music</t>
        </is>
      </c>
      <c r="B235" s="8" t="inlineStr">
        <is>
          <t>Package</t>
        </is>
      </c>
      <c r="C235" s="8" t="n">
        <v>1</v>
      </c>
      <c r="D235" s="25" t="n">
        <v>30000</v>
      </c>
      <c r="E235" s="26">
        <f>C235*D235</f>
        <v/>
      </c>
      <c r="F235" s="27" t="inlineStr">
        <is>
          <t>Traditional + modern acts</t>
        </is>
      </c>
    </row>
    <row r="236">
      <c r="A236" s="4" t="inlineStr">
        <is>
          <t>LED Video Wall &amp; Full AV Production</t>
        </is>
      </c>
      <c r="B236" s="5" t="inlineStr">
        <is>
          <t>Package</t>
        </is>
      </c>
      <c r="C236" s="5" t="n">
        <v>1</v>
      </c>
      <c r="D236" s="22" t="n">
        <v>22000</v>
      </c>
      <c r="E236" s="23">
        <f>C236*D236</f>
        <v/>
      </c>
      <c r="F236" s="24" t="inlineStr">
        <is>
          <t>Full production setup + lighting design</t>
        </is>
      </c>
    </row>
    <row r="237">
      <c r="A237" s="7" t="inlineStr">
        <is>
          <t>Photography &amp; Videography (Full team)</t>
        </is>
      </c>
      <c r="B237" s="8" t="inlineStr">
        <is>
          <t>Package</t>
        </is>
      </c>
      <c r="C237" s="8" t="n">
        <v>1</v>
      </c>
      <c r="D237" s="25" t="n">
        <v>18000</v>
      </c>
      <c r="E237" s="26">
        <f>C237*D237</f>
        <v/>
      </c>
      <c r="F237" s="27" t="inlineStr">
        <is>
          <t>Complete coverage + highlight reel</t>
        </is>
      </c>
    </row>
    <row r="238">
      <c r="A238" s="4" t="inlineStr">
        <is>
          <t>Eid Employee Gift Boxes</t>
        </is>
      </c>
      <c r="B238" s="5" t="inlineStr">
        <is>
          <t>Per person</t>
        </is>
      </c>
      <c r="C238" s="5" t="n">
        <v>300</v>
      </c>
      <c r="D238" s="22" t="n">
        <v>155</v>
      </c>
      <c r="E238" s="23">
        <f>C238*D238</f>
        <v/>
      </c>
      <c r="F238" s="24" t="inlineStr">
        <is>
          <t>Premium gift box with personalized item</t>
        </is>
      </c>
    </row>
    <row r="239">
      <c r="A239" s="7" t="inlineStr">
        <is>
          <t>Professional MC</t>
        </is>
      </c>
      <c r="B239" s="8" t="inlineStr">
        <is>
          <t>Full event</t>
        </is>
      </c>
      <c r="C239" s="8" t="n">
        <v>1</v>
      </c>
      <c r="D239" s="25" t="n">
        <v>12000</v>
      </c>
      <c r="E239" s="26">
        <f>C239*D239</f>
        <v/>
      </c>
      <c r="F239" s="27" t="inlineStr">
        <is>
          <t>Gala host</t>
        </is>
      </c>
    </row>
    <row r="240">
      <c r="A240" s="4" t="inlineStr">
        <is>
          <t>Event Branding &amp; Design</t>
        </is>
      </c>
      <c r="B240" s="5" t="inlineStr">
        <is>
          <t>Package</t>
        </is>
      </c>
      <c r="C240" s="5" t="n">
        <v>1</v>
      </c>
      <c r="D240" s="22" t="n">
        <v>16000</v>
      </c>
      <c r="E240" s="23">
        <f>C240*D240</f>
        <v/>
      </c>
      <c r="F240" s="24" t="inlineStr">
        <is>
          <t>Eid-themed invites, backdrop, social media kit, signage, digital assets</t>
        </is>
      </c>
    </row>
    <row r="241">
      <c r="A241" s="11" t="inlineStr">
        <is>
          <t>Subtotal (Before Commission)</t>
        </is>
      </c>
      <c r="B241" s="15" t="n"/>
      <c r="C241" s="15" t="n"/>
      <c r="D241" s="15" t="n"/>
      <c r="E241" s="13">
        <f>SUM(E232:E240)</f>
        <v/>
      </c>
      <c r="F241" s="15" t="n"/>
    </row>
    <row r="242">
      <c r="A242" s="11" t="inlineStr">
        <is>
          <t>Agency Commission (15%)</t>
        </is>
      </c>
      <c r="B242" s="12" t="inlineStr">
        <is>
          <t>15%</t>
        </is>
      </c>
      <c r="C242" s="15" t="n"/>
      <c r="D242" s="15" t="n"/>
      <c r="E242" s="13">
        <f>E241*0.15</f>
        <v/>
      </c>
      <c r="F242" s="28" t="inlineStr">
        <is>
          <t>Agency management, planning &amp; execution fee</t>
        </is>
      </c>
    </row>
    <row r="243">
      <c r="A243" s="29" t="inlineStr">
        <is>
          <t>▶ EVENT 17: Eid Al-Adha Celebration – TOTAL</t>
        </is>
      </c>
      <c r="B243" s="29" t="n"/>
      <c r="C243" s="29" t="n"/>
      <c r="D243" s="29" t="n"/>
      <c r="E243" s="30">
        <f>E241+E242</f>
        <v/>
      </c>
      <c r="F243" s="29" t="n"/>
    </row>
    <row r="246">
      <c r="A246" s="1" t="inlineStr">
        <is>
          <t>Q3 EVENTS</t>
        </is>
      </c>
    </row>
    <row r="247">
      <c r="A247" s="21" t="inlineStr">
        <is>
          <t>EVENT 18: Summer SERA (صيف سيرا) | Date: July 20 | Attendance: 500 | Entertainment Venue – Evening</t>
        </is>
      </c>
    </row>
    <row r="248">
      <c r="A248" s="3" t="inlineStr">
        <is>
          <t>Cost Item</t>
        </is>
      </c>
      <c r="B248" s="3" t="inlineStr">
        <is>
          <t>Unit</t>
        </is>
      </c>
      <c r="C248" s="3" t="inlineStr">
        <is>
          <t>Qty</t>
        </is>
      </c>
      <c r="D248" s="3" t="inlineStr">
        <is>
          <t>Unit Price (SAR)</t>
        </is>
      </c>
      <c r="E248" s="3" t="inlineStr">
        <is>
          <t>Total (SAR)</t>
        </is>
      </c>
      <c r="F248" s="3" t="inlineStr">
        <is>
          <t>Notes</t>
        </is>
      </c>
    </row>
    <row r="249">
      <c r="A249" s="4" t="inlineStr">
        <is>
          <t>Venue Rental (Entertainment complex)</t>
        </is>
      </c>
      <c r="B249" s="5" t="inlineStr">
        <is>
          <t>Evening</t>
        </is>
      </c>
      <c r="C249" s="5" t="n">
        <v>1</v>
      </c>
      <c r="D249" s="22" t="n">
        <v>72000</v>
      </c>
      <c r="E249" s="23">
        <f>C249*D249</f>
        <v/>
      </c>
      <c r="F249" s="31" t="inlineStr">
        <is>
          <t>[NOTE] MUST be evening post-sunset – July heat exceeds 45°C</t>
        </is>
      </c>
    </row>
    <row r="250">
      <c r="A250" s="7" t="inlineStr">
        <is>
          <t>Catering – Food Festival Style</t>
        </is>
      </c>
      <c r="B250" s="8" t="inlineStr">
        <is>
          <t>Per person</t>
        </is>
      </c>
      <c r="C250" s="8" t="n">
        <v>500</v>
      </c>
      <c r="D250" s="25" t="n">
        <v>145</v>
      </c>
      <c r="E250" s="26">
        <f>C250*D250</f>
        <v/>
      </c>
      <c r="F250" s="27" t="inlineStr">
        <is>
          <t>10+ themed food stations, live cooking</t>
        </is>
      </c>
    </row>
    <row r="251">
      <c r="A251" s="4" t="inlineStr">
        <is>
          <t>Beverages &amp; Refreshments Station</t>
        </is>
      </c>
      <c r="B251" s="5" t="inlineStr">
        <is>
          <t>Per person</t>
        </is>
      </c>
      <c r="C251" s="5" t="n">
        <v>500</v>
      </c>
      <c r="D251" s="22" t="n">
        <v>38</v>
      </c>
      <c r="E251" s="23">
        <f>C251*D251</f>
        <v/>
      </c>
      <c r="F251" s="24" t="inlineStr">
        <is>
          <t>Water, fresh juices, soft drinks, ice cream bar</t>
        </is>
      </c>
    </row>
    <row r="252">
      <c r="A252" s="7" t="inlineStr">
        <is>
          <t>Main Stage Entertainment (Live show)</t>
        </is>
      </c>
      <c r="B252" s="8" t="inlineStr">
        <is>
          <t>Package</t>
        </is>
      </c>
      <c r="C252" s="8" t="n">
        <v>1</v>
      </c>
      <c r="D252" s="25" t="n">
        <v>38000</v>
      </c>
      <c r="E252" s="26">
        <f>C252*D252</f>
        <v/>
      </c>
      <c r="F252" s="27" t="inlineStr">
        <is>
          <t>Headline act + band + performer</t>
        </is>
      </c>
    </row>
    <row r="253">
      <c r="A253" s="4" t="inlineStr">
        <is>
          <t>Children's Entertainment Zone</t>
        </is>
      </c>
      <c r="B253" s="5" t="inlineStr">
        <is>
          <t>Package</t>
        </is>
      </c>
      <c r="C253" s="5" t="n">
        <v>1</v>
      </c>
      <c r="D253" s="22" t="n">
        <v>28000</v>
      </c>
      <c r="E253" s="23">
        <f>C253*D253</f>
        <v/>
      </c>
      <c r="F253" s="24" t="inlineStr">
        <is>
          <t>Games, characters, face painting, bouncy castles, VR</t>
        </is>
      </c>
    </row>
    <row r="254">
      <c r="A254" s="7" t="inlineStr">
        <is>
          <t>Game Booths &amp; Activity Stations</t>
        </is>
      </c>
      <c r="B254" s="8" t="inlineStr">
        <is>
          <t>Per booth</t>
        </is>
      </c>
      <c r="C254" s="8" t="n">
        <v>10</v>
      </c>
      <c r="D254" s="25" t="n">
        <v>5000</v>
      </c>
      <c r="E254" s="26">
        <f>C254*D254</f>
        <v/>
      </c>
      <c r="F254" s="27" t="inlineStr">
        <is>
          <t>10 interactive branded stations with prizes</t>
        </is>
      </c>
    </row>
    <row r="255">
      <c r="A255" s="4" t="inlineStr">
        <is>
          <t>Prizes, Raffle &amp; Giveaways</t>
        </is>
      </c>
      <c r="B255" s="5" t="inlineStr">
        <is>
          <t>Package</t>
        </is>
      </c>
      <c r="C255" s="5" t="n">
        <v>1</v>
      </c>
      <c r="D255" s="22" t="n">
        <v>25000</v>
      </c>
      <c r="E255" s="23">
        <f>C255*D255</f>
        <v/>
      </c>
      <c r="F255" s="24" t="inlineStr">
        <is>
          <t>Competition prizes + grand raffle + spot prizes</t>
        </is>
      </c>
    </row>
    <row r="256">
      <c r="A256" s="7" t="inlineStr">
        <is>
          <t>Summer-Themed Décor (Multi-zone)</t>
        </is>
      </c>
      <c r="B256" s="8" t="inlineStr">
        <is>
          <t>Package</t>
        </is>
      </c>
      <c r="C256" s="8" t="n">
        <v>1</v>
      </c>
      <c r="D256" s="25" t="n">
        <v>30000</v>
      </c>
      <c r="E256" s="26">
        <f>C256*D256</f>
        <v/>
      </c>
      <c r="F256" s="27" t="inlineStr">
        <is>
          <t>Full venue theming across all zones</t>
        </is>
      </c>
    </row>
    <row r="257">
      <c r="A257" s="4" t="inlineStr">
        <is>
          <t>Outdoor Concert Sound &amp; Lighting</t>
        </is>
      </c>
      <c r="B257" s="5" t="inlineStr">
        <is>
          <t>Package</t>
        </is>
      </c>
      <c r="C257" s="5" t="n">
        <v>1</v>
      </c>
      <c r="D257" s="22" t="n">
        <v>35000</v>
      </c>
      <c r="E257" s="23">
        <f>C257*D257</f>
        <v/>
      </c>
      <c r="F257" s="24" t="inlineStr">
        <is>
          <t>Concert-grade outdoor production + effects</t>
        </is>
      </c>
    </row>
    <row r="258">
      <c r="A258" s="7" t="inlineStr">
        <is>
          <t>Photography &amp; Videography (Multi-zone)</t>
        </is>
      </c>
      <c r="B258" s="8" t="inlineStr">
        <is>
          <t>Package</t>
        </is>
      </c>
      <c r="C258" s="8" t="n">
        <v>1</v>
      </c>
      <c r="D258" s="25" t="n">
        <v>22000</v>
      </c>
      <c r="E258" s="26">
        <f>C258*D258</f>
        <v/>
      </c>
      <c r="F258" s="27" t="inlineStr">
        <is>
          <t>3 photographers + 2 videographers + drone</t>
        </is>
      </c>
    </row>
    <row r="259">
      <c r="A259" s="4" t="inlineStr">
        <is>
          <t>Family Gift Bags</t>
        </is>
      </c>
      <c r="B259" s="5" t="inlineStr">
        <is>
          <t>Per family</t>
        </is>
      </c>
      <c r="C259" s="5" t="n">
        <v>250</v>
      </c>
      <c r="D259" s="22" t="n">
        <v>90</v>
      </c>
      <c r="E259" s="23">
        <f>C259*D259</f>
        <v/>
      </c>
      <c r="F259" s="24" t="inlineStr">
        <is>
          <t>Summer activity pack with branded items</t>
        </is>
      </c>
    </row>
    <row r="260">
      <c r="A260" s="11" t="inlineStr">
        <is>
          <t>Subtotal (Before Commission)</t>
        </is>
      </c>
      <c r="B260" s="15" t="n"/>
      <c r="C260" s="15" t="n"/>
      <c r="D260" s="15" t="n"/>
      <c r="E260" s="13">
        <f>SUM(E249:E259)</f>
        <v/>
      </c>
      <c r="F260" s="15" t="n"/>
    </row>
    <row r="261">
      <c r="A261" s="11" t="inlineStr">
        <is>
          <t>Agency Commission (15%)</t>
        </is>
      </c>
      <c r="B261" s="12" t="inlineStr">
        <is>
          <t>15%</t>
        </is>
      </c>
      <c r="C261" s="15" t="n"/>
      <c r="D261" s="15" t="n"/>
      <c r="E261" s="13">
        <f>E260*0.15</f>
        <v/>
      </c>
      <c r="F261" s="28" t="inlineStr">
        <is>
          <t>Agency management, planning &amp; execution fee</t>
        </is>
      </c>
    </row>
    <row r="262">
      <c r="A262" s="29" t="inlineStr">
        <is>
          <t>▶ EVENT 18: Summer SERA (صيف سيرا) – TOTAL</t>
        </is>
      </c>
      <c r="B262" s="29" t="n"/>
      <c r="C262" s="29" t="n"/>
      <c r="D262" s="29" t="n"/>
      <c r="E262" s="30">
        <f>E260+E261</f>
        <v/>
      </c>
      <c r="F262" s="29" t="n"/>
    </row>
    <row r="264">
      <c r="A264" s="21" t="inlineStr">
        <is>
          <t>EVENT 19: SERA Winter (شتوية سيرا) | Date: August 19 | Attendance: 300 | Indoor Entertainment Venue</t>
        </is>
      </c>
    </row>
    <row r="265">
      <c r="A265" s="3" t="inlineStr">
        <is>
          <t>Cost Item</t>
        </is>
      </c>
      <c r="B265" s="3" t="inlineStr">
        <is>
          <t>Unit</t>
        </is>
      </c>
      <c r="C265" s="3" t="inlineStr">
        <is>
          <t>Qty</t>
        </is>
      </c>
      <c r="D265" s="3" t="inlineStr">
        <is>
          <t>Unit Price (SAR)</t>
        </is>
      </c>
      <c r="E265" s="3" t="inlineStr">
        <is>
          <t>Total (SAR)</t>
        </is>
      </c>
      <c r="F265" s="3" t="inlineStr">
        <is>
          <t>Notes</t>
        </is>
      </c>
    </row>
    <row r="266">
      <c r="A266" s="4" t="inlineStr">
        <is>
          <t>Venue Rental (Indoor entertainment complex)</t>
        </is>
      </c>
      <c r="B266" s="5" t="inlineStr">
        <is>
          <t>Evening</t>
        </is>
      </c>
      <c r="C266" s="5" t="n">
        <v>1</v>
      </c>
      <c r="D266" s="22" t="n">
        <v>38000</v>
      </c>
      <c r="E266" s="23">
        <f>C266*D266</f>
        <v/>
      </c>
      <c r="F266" s="24" t="inlineStr">
        <is>
          <t>Air-conditioned indoor venue – August heat</t>
        </is>
      </c>
    </row>
    <row r="267">
      <c r="A267" s="7" t="inlineStr">
        <is>
          <t>Catering – Food Stations</t>
        </is>
      </c>
      <c r="B267" s="8" t="inlineStr">
        <is>
          <t>Per person</t>
        </is>
      </c>
      <c r="C267" s="8" t="n">
        <v>300</v>
      </c>
      <c r="D267" s="25" t="n">
        <v>160</v>
      </c>
      <c r="E267" s="26">
        <f>C267*D267</f>
        <v/>
      </c>
      <c r="F267" s="27" t="inlineStr">
        <is>
          <t>Themed food stations, live cooking, dessert bar</t>
        </is>
      </c>
    </row>
    <row r="268">
      <c r="A268" s="4" t="inlineStr">
        <is>
          <t>Winter-Themed Décor &amp; Setup</t>
        </is>
      </c>
      <c r="B268" s="5" t="inlineStr">
        <is>
          <t>Package</t>
        </is>
      </c>
      <c r="C268" s="5" t="n">
        <v>1</v>
      </c>
      <c r="D268" s="22" t="n">
        <v>18000</v>
      </c>
      <c r="E268" s="23">
        <f>C268*D268</f>
        <v/>
      </c>
      <c r="F268" s="24" t="inlineStr">
        <is>
          <t>Winter wonderland theme, snow effects, ambient lighting</t>
        </is>
      </c>
    </row>
    <row r="269">
      <c r="A269" s="7" t="inlineStr">
        <is>
          <t>Entertainment Program</t>
        </is>
      </c>
      <c r="B269" s="8" t="inlineStr">
        <is>
          <t>Package</t>
        </is>
      </c>
      <c r="C269" s="8" t="n">
        <v>1</v>
      </c>
      <c r="D269" s="25" t="n">
        <v>20000</v>
      </c>
      <c r="E269" s="26">
        <f>C269*D269</f>
        <v/>
      </c>
      <c r="F269" s="27" t="inlineStr">
        <is>
          <t>Live performance, games, competitions</t>
        </is>
      </c>
    </row>
    <row r="270">
      <c r="A270" s="4" t="inlineStr">
        <is>
          <t>Photo Booth (Winter Theme)</t>
        </is>
      </c>
      <c r="B270" s="5" t="inlineStr">
        <is>
          <t>Package</t>
        </is>
      </c>
      <c r="C270" s="5" t="n">
        <v>1</v>
      </c>
      <c r="D270" s="22" t="n">
        <v>8000</v>
      </c>
      <c r="E270" s="23">
        <f>C270*D270</f>
        <v/>
      </c>
      <c r="F270" s="24" t="inlineStr">
        <is>
          <t>Themed backdrop, props, instant prints</t>
        </is>
      </c>
    </row>
    <row r="271">
      <c r="A271" s="7" t="inlineStr">
        <is>
          <t>Photography &amp; Videography</t>
        </is>
      </c>
      <c r="B271" s="8" t="inlineStr">
        <is>
          <t>Package</t>
        </is>
      </c>
      <c r="C271" s="8" t="n">
        <v>1</v>
      </c>
      <c r="D271" s="25" t="n">
        <v>12000</v>
      </c>
      <c r="E271" s="26">
        <f>C271*D271</f>
        <v/>
      </c>
      <c r="F271" s="27" t="inlineStr">
        <is>
          <t>Full coverage + highlight reel</t>
        </is>
      </c>
    </row>
    <row r="272">
      <c r="A272" s="4" t="inlineStr">
        <is>
          <t>Event Branding &amp; Design</t>
        </is>
      </c>
      <c r="B272" s="5" t="inlineStr">
        <is>
          <t>Package</t>
        </is>
      </c>
      <c r="C272" s="5" t="n">
        <v>1</v>
      </c>
      <c r="D272" s="22" t="n">
        <v>14000</v>
      </c>
      <c r="E272" s="23">
        <f>C272*D272</f>
        <v/>
      </c>
      <c r="F272" s="24" t="inlineStr">
        <is>
          <t>Winter-themed invitations, signage, social media kit</t>
        </is>
      </c>
    </row>
    <row r="273">
      <c r="A273" s="11" t="inlineStr">
        <is>
          <t>Subtotal (Before Commission)</t>
        </is>
      </c>
      <c r="B273" s="15" t="n"/>
      <c r="C273" s="15" t="n"/>
      <c r="D273" s="15" t="n"/>
      <c r="E273" s="13">
        <f>SUM(E266:E272)</f>
        <v/>
      </c>
      <c r="F273" s="15" t="n"/>
    </row>
    <row r="274">
      <c r="A274" s="11" t="inlineStr">
        <is>
          <t>Agency Commission (15%)</t>
        </is>
      </c>
      <c r="B274" s="12" t="inlineStr">
        <is>
          <t>15%</t>
        </is>
      </c>
      <c r="C274" s="15" t="n"/>
      <c r="D274" s="15" t="n"/>
      <c r="E274" s="13">
        <f>E273*0.15</f>
        <v/>
      </c>
      <c r="F274" s="28" t="inlineStr">
        <is>
          <t>Agency management, planning &amp; execution fee</t>
        </is>
      </c>
    </row>
    <row r="275">
      <c r="A275" s="29" t="inlineStr">
        <is>
          <t>▶ EVENT 19: SERA Winter (شتوية سيرا) – TOTAL</t>
        </is>
      </c>
      <c r="B275" s="29" t="n"/>
      <c r="C275" s="29" t="n"/>
      <c r="D275" s="29" t="n"/>
      <c r="E275" s="30">
        <f>E273+E274</f>
        <v/>
      </c>
      <c r="F275" s="29" t="n"/>
    </row>
    <row r="277">
      <c r="A277" s="21" t="inlineStr">
        <is>
          <t>EVENT 20: World First Aid Day (اليوم العالمي للإسعافات الأولية) | Date: September 13 | Attendance: 200 | SERA HQ</t>
        </is>
      </c>
    </row>
    <row r="278">
      <c r="A278" s="3" t="inlineStr">
        <is>
          <t>Cost Item</t>
        </is>
      </c>
      <c r="B278" s="3" t="inlineStr">
        <is>
          <t>Unit</t>
        </is>
      </c>
      <c r="C278" s="3" t="inlineStr">
        <is>
          <t>Qty</t>
        </is>
      </c>
      <c r="D278" s="3" t="inlineStr">
        <is>
          <t>Unit Price (SAR)</t>
        </is>
      </c>
      <c r="E278" s="3" t="inlineStr">
        <is>
          <t>Total (SAR)</t>
        </is>
      </c>
      <c r="F278" s="3" t="inlineStr">
        <is>
          <t>Notes</t>
        </is>
      </c>
    </row>
    <row r="279">
      <c r="A279" s="4" t="inlineStr">
        <is>
          <t>Venue</t>
        </is>
      </c>
      <c r="B279" s="5" t="inlineStr">
        <is>
          <t>SERA HQ</t>
        </is>
      </c>
      <c r="C279" s="5" t="n">
        <v>1</v>
      </c>
      <c r="D279" s="22" t="n">
        <v>0</v>
      </c>
      <c r="E279" s="23">
        <f>C279*D279</f>
        <v/>
      </c>
      <c r="F279" s="24" t="inlineStr">
        <is>
          <t>Internal – no rental cost</t>
        </is>
      </c>
    </row>
    <row r="280">
      <c r="A280" s="7" t="inlineStr">
        <is>
          <t>First Aid Training Workshop</t>
        </is>
      </c>
      <c r="B280" s="8" t="inlineStr">
        <is>
          <t>Package</t>
        </is>
      </c>
      <c r="C280" s="8" t="n">
        <v>1</v>
      </c>
      <c r="D280" s="25" t="n">
        <v>15000</v>
      </c>
      <c r="E280" s="26">
        <f>C280*D280</f>
        <v/>
      </c>
      <c r="F280" s="27" t="inlineStr">
        <is>
          <t>Certified trainer, CPR + first aid techniques</t>
        </is>
      </c>
    </row>
    <row r="281">
      <c r="A281" s="4" t="inlineStr">
        <is>
          <t>CPR Mannequins &amp; Training Equipment</t>
        </is>
      </c>
      <c r="B281" s="5" t="inlineStr">
        <is>
          <t>Rental</t>
        </is>
      </c>
      <c r="C281" s="5" t="n">
        <v>1</v>
      </c>
      <c r="D281" s="22" t="n">
        <v>8000</v>
      </c>
      <c r="E281" s="23">
        <f>C281*D281</f>
        <v/>
      </c>
      <c r="F281" s="24" t="inlineStr">
        <is>
          <t>Professional training dummies + AED trainers</t>
        </is>
      </c>
    </row>
    <row r="282">
      <c r="A282" s="7" t="inlineStr">
        <is>
          <t>First Aid Kits (Giveaway)</t>
        </is>
      </c>
      <c r="B282" s="8" t="inlineStr">
        <is>
          <t>Per person</t>
        </is>
      </c>
      <c r="C282" s="8" t="n">
        <v>200</v>
      </c>
      <c r="D282" s="25" t="n">
        <v>45</v>
      </c>
      <c r="E282" s="26">
        <f>C282*D282</f>
        <v/>
      </c>
      <c r="F282" s="27" t="inlineStr">
        <is>
          <t>Branded personal first aid kits</t>
        </is>
      </c>
    </row>
    <row r="283">
      <c r="A283" s="4" t="inlineStr">
        <is>
          <t>Expert Paramedic Speaker</t>
        </is>
      </c>
      <c r="B283" s="5" t="inlineStr">
        <is>
          <t>Fee</t>
        </is>
      </c>
      <c r="C283" s="5" t="n">
        <v>1</v>
      </c>
      <c r="D283" s="22" t="n">
        <v>10000</v>
      </c>
      <c r="E283" s="23">
        <f>C283*D283</f>
        <v/>
      </c>
      <c r="F283" s="24" t="inlineStr">
        <is>
          <t>Emergency medicine specialist</t>
        </is>
      </c>
    </row>
    <row r="284">
      <c r="A284" s="7" t="inlineStr">
        <is>
          <t>Light Refreshments</t>
        </is>
      </c>
      <c r="B284" s="8" t="inlineStr">
        <is>
          <t>Per person</t>
        </is>
      </c>
      <c r="C284" s="8" t="n">
        <v>200</v>
      </c>
      <c r="D284" s="25" t="n">
        <v>40</v>
      </c>
      <c r="E284" s="26">
        <f>C284*D284</f>
        <v/>
      </c>
      <c r="F284" s="27" t="inlineStr">
        <is>
          <t>Coffee, snacks, water</t>
        </is>
      </c>
    </row>
    <row r="285">
      <c r="A285" s="4" t="inlineStr">
        <is>
          <t>Photography</t>
        </is>
      </c>
      <c r="B285" s="5" t="inlineStr">
        <is>
          <t>2 hours</t>
        </is>
      </c>
      <c r="C285" s="5" t="n">
        <v>1</v>
      </c>
      <c r="D285" s="22" t="n">
        <v>3000</v>
      </c>
      <c r="E285" s="23">
        <f>C285*D285</f>
        <v/>
      </c>
      <c r="F285" s="24" t="inlineStr">
        <is>
          <t>Event documentation</t>
        </is>
      </c>
    </row>
    <row r="286">
      <c r="A286" s="7" t="inlineStr">
        <is>
          <t>Event Branding &amp; Design</t>
        </is>
      </c>
      <c r="B286" s="8" t="inlineStr">
        <is>
          <t>Package</t>
        </is>
      </c>
      <c r="C286" s="8" t="n">
        <v>1</v>
      </c>
      <c r="D286" s="25" t="n">
        <v>14000</v>
      </c>
      <c r="E286" s="26">
        <f>C286*D286</f>
        <v/>
      </c>
      <c r="F286" s="27" t="inlineStr">
        <is>
          <t>Health-themed signage, certificates, social media kit</t>
        </is>
      </c>
    </row>
    <row r="287">
      <c r="A287" s="11" t="inlineStr">
        <is>
          <t>Subtotal (Before Commission)</t>
        </is>
      </c>
      <c r="B287" s="15" t="n"/>
      <c r="C287" s="15" t="n"/>
      <c r="D287" s="15" t="n"/>
      <c r="E287" s="13">
        <f>SUM(E279:E286)</f>
        <v/>
      </c>
      <c r="F287" s="15" t="n"/>
    </row>
    <row r="288">
      <c r="A288" s="11" t="inlineStr">
        <is>
          <t>Agency Commission (15%)</t>
        </is>
      </c>
      <c r="B288" s="12" t="inlineStr">
        <is>
          <t>15%</t>
        </is>
      </c>
      <c r="C288" s="15" t="n"/>
      <c r="D288" s="15" t="n"/>
      <c r="E288" s="13">
        <f>E287*0.15</f>
        <v/>
      </c>
      <c r="F288" s="28" t="inlineStr">
        <is>
          <t>Agency management, planning &amp; execution fee</t>
        </is>
      </c>
    </row>
    <row r="289">
      <c r="A289" s="29" t="inlineStr">
        <is>
          <t>▶ EVENT 20: World First Aid Day (اليوم العالمي للإسعافات الأولية) – TOTAL</t>
        </is>
      </c>
      <c r="B289" s="29" t="n"/>
      <c r="C289" s="29" t="n"/>
      <c r="D289" s="29" t="n"/>
      <c r="E289" s="30">
        <f>E287+E288</f>
        <v/>
      </c>
      <c r="F289" s="29" t="n"/>
    </row>
    <row r="291">
      <c r="A291" s="21" t="inlineStr">
        <is>
          <t>EVENT 21: تزود Skills Development (تزوّد) | Date: September | Attendance: 200 | Conference / Training Venue</t>
        </is>
      </c>
    </row>
    <row r="292">
      <c r="A292" s="3" t="inlineStr">
        <is>
          <t>Cost Item</t>
        </is>
      </c>
      <c r="B292" s="3" t="inlineStr">
        <is>
          <t>Unit</t>
        </is>
      </c>
      <c r="C292" s="3" t="inlineStr">
        <is>
          <t>Qty</t>
        </is>
      </c>
      <c r="D292" s="3" t="inlineStr">
        <is>
          <t>Unit Price (SAR)</t>
        </is>
      </c>
      <c r="E292" s="3" t="inlineStr">
        <is>
          <t>Total (SAR)</t>
        </is>
      </c>
      <c r="F292" s="3" t="inlineStr">
        <is>
          <t>Notes</t>
        </is>
      </c>
    </row>
    <row r="293">
      <c r="A293" s="4" t="inlineStr">
        <is>
          <t>Venue Rental (Conference / training room)</t>
        </is>
      </c>
      <c r="B293" s="5" t="inlineStr">
        <is>
          <t>Full day</t>
        </is>
      </c>
      <c r="C293" s="5" t="n">
        <v>1</v>
      </c>
      <c r="D293" s="22" t="n">
        <v>25000</v>
      </c>
      <c r="E293" s="23">
        <f>C293*D293</f>
        <v/>
      </c>
      <c r="F293" s="24" t="inlineStr">
        <is>
          <t>Professional training environment</t>
        </is>
      </c>
    </row>
    <row r="294">
      <c r="A294" s="7" t="inlineStr">
        <is>
          <t>Expert Trainers (2 sessions)</t>
        </is>
      </c>
      <c r="B294" s="8" t="inlineStr">
        <is>
          <t>Fee</t>
        </is>
      </c>
      <c r="C294" s="8" t="n">
        <v>2</v>
      </c>
      <c r="D294" s="25" t="n">
        <v>15000</v>
      </c>
      <c r="E294" s="26">
        <f>C294*D294</f>
        <v/>
      </c>
      <c r="F294" s="27" t="inlineStr">
        <is>
          <t>Industry experts for skills development</t>
        </is>
      </c>
    </row>
    <row r="295">
      <c r="A295" s="4" t="inlineStr">
        <is>
          <t>Training Materials &amp; Workbooks</t>
        </is>
      </c>
      <c r="B295" s="5" t="inlineStr">
        <is>
          <t>Per person</t>
        </is>
      </c>
      <c r="C295" s="5" t="n">
        <v>200</v>
      </c>
      <c r="D295" s="22" t="n">
        <v>50</v>
      </c>
      <c r="E295" s="23">
        <f>C295*D295</f>
        <v/>
      </c>
      <c r="F295" s="24" t="inlineStr">
        <is>
          <t>Branded workbooks, handouts, tools</t>
        </is>
      </c>
    </row>
    <row r="296">
      <c r="A296" s="7" t="inlineStr">
        <is>
          <t>Catering (Lunch + Coffee Break)</t>
        </is>
      </c>
      <c r="B296" s="8" t="inlineStr">
        <is>
          <t>Per person</t>
        </is>
      </c>
      <c r="C296" s="8" t="n">
        <v>200</v>
      </c>
      <c r="D296" s="25" t="n">
        <v>150</v>
      </c>
      <c r="E296" s="26">
        <f>C296*D296</f>
        <v/>
      </c>
      <c r="F296" s="27" t="inlineStr">
        <is>
          <t>Full-day premium catering package</t>
        </is>
      </c>
    </row>
    <row r="297">
      <c r="A297" s="4" t="inlineStr">
        <is>
          <t>Completion Certificates</t>
        </is>
      </c>
      <c r="B297" s="5" t="inlineStr">
        <is>
          <t>Per person</t>
        </is>
      </c>
      <c r="C297" s="5" t="n">
        <v>200</v>
      </c>
      <c r="D297" s="22" t="n">
        <v>25</v>
      </c>
      <c r="E297" s="23">
        <f>C297*D297</f>
        <v/>
      </c>
      <c r="F297" s="24" t="inlineStr">
        <is>
          <t>Premium branded certificates</t>
        </is>
      </c>
    </row>
    <row r="298">
      <c r="A298" s="7" t="inlineStr">
        <is>
          <t>Photography</t>
        </is>
      </c>
      <c r="B298" s="8" t="inlineStr">
        <is>
          <t>Full day</t>
        </is>
      </c>
      <c r="C298" s="8" t="n">
        <v>1</v>
      </c>
      <c r="D298" s="25" t="n">
        <v>3500</v>
      </c>
      <c r="E298" s="26">
        <f>C298*D298</f>
        <v/>
      </c>
      <c r="F298" s="27" t="inlineStr">
        <is>
          <t>Event documentation</t>
        </is>
      </c>
    </row>
    <row r="299">
      <c r="A299" s="4" t="inlineStr">
        <is>
          <t>Event Branding &amp; Design</t>
        </is>
      </c>
      <c r="B299" s="5" t="inlineStr">
        <is>
          <t>Package</t>
        </is>
      </c>
      <c r="C299" s="5" t="n">
        <v>1</v>
      </c>
      <c r="D299" s="22" t="n">
        <v>14000</v>
      </c>
      <c r="E299" s="23">
        <f>C299*D299</f>
        <v/>
      </c>
      <c r="F299" s="24" t="inlineStr">
        <is>
          <t>Program signage, materials, certificates, social media kit</t>
        </is>
      </c>
    </row>
    <row r="300">
      <c r="A300" s="11" t="inlineStr">
        <is>
          <t>Subtotal (Before Commission)</t>
        </is>
      </c>
      <c r="B300" s="15" t="n"/>
      <c r="C300" s="15" t="n"/>
      <c r="D300" s="15" t="n"/>
      <c r="E300" s="13">
        <f>SUM(E293:E299)</f>
        <v/>
      </c>
      <c r="F300" s="15" t="n"/>
    </row>
    <row r="301">
      <c r="A301" s="11" t="inlineStr">
        <is>
          <t>Agency Commission (15%)</t>
        </is>
      </c>
      <c r="B301" s="12" t="inlineStr">
        <is>
          <t>15%</t>
        </is>
      </c>
      <c r="C301" s="15" t="n"/>
      <c r="D301" s="15" t="n"/>
      <c r="E301" s="13">
        <f>E300*0.15</f>
        <v/>
      </c>
      <c r="F301" s="28" t="inlineStr">
        <is>
          <t>Agency management, planning &amp; execution fee</t>
        </is>
      </c>
    </row>
    <row r="302">
      <c r="A302" s="29" t="inlineStr">
        <is>
          <t>▶ EVENT 21: تزود Skills Development (تزوّد) – TOTAL</t>
        </is>
      </c>
      <c r="B302" s="29" t="n"/>
      <c r="C302" s="29" t="n"/>
      <c r="D302" s="29" t="n"/>
      <c r="E302" s="30">
        <f>E300+E301</f>
        <v/>
      </c>
      <c r="F302" s="29" t="n"/>
    </row>
    <row r="304">
      <c r="A304" s="21" t="inlineStr">
        <is>
          <t>EVENT 22: World Alzheimer's Day | Date: September 21 | Attendance: 200 | SERA HQ</t>
        </is>
      </c>
    </row>
    <row r="305">
      <c r="A305" s="3" t="inlineStr">
        <is>
          <t>Cost Item</t>
        </is>
      </c>
      <c r="B305" s="3" t="inlineStr">
        <is>
          <t>Unit</t>
        </is>
      </c>
      <c r="C305" s="3" t="inlineStr">
        <is>
          <t>Qty</t>
        </is>
      </c>
      <c r="D305" s="3" t="inlineStr">
        <is>
          <t>Unit Price (SAR)</t>
        </is>
      </c>
      <c r="E305" s="3" t="inlineStr">
        <is>
          <t>Total (SAR)</t>
        </is>
      </c>
      <c r="F305" s="3" t="inlineStr">
        <is>
          <t>Notes</t>
        </is>
      </c>
    </row>
    <row r="306">
      <c r="A306" s="4" t="inlineStr">
        <is>
          <t>Venue</t>
        </is>
      </c>
      <c r="B306" s="5" t="inlineStr">
        <is>
          <t>SERA HQ</t>
        </is>
      </c>
      <c r="C306" s="5" t="n">
        <v>1</v>
      </c>
      <c r="D306" s="22" t="n">
        <v>0</v>
      </c>
      <c r="E306" s="23">
        <f>C306*D306</f>
        <v/>
      </c>
      <c r="F306" s="24" t="inlineStr">
        <is>
          <t>Internal</t>
        </is>
      </c>
    </row>
    <row r="307">
      <c r="A307" s="7" t="inlineStr">
        <is>
          <t>Awareness Materials &amp; Booth Setup</t>
        </is>
      </c>
      <c r="B307" s="8" t="inlineStr">
        <is>
          <t>Package</t>
        </is>
      </c>
      <c r="C307" s="8" t="n">
        <v>1</v>
      </c>
      <c r="D307" s="25" t="n">
        <v>10000</v>
      </c>
      <c r="E307" s="26">
        <f>C307*D307</f>
        <v/>
      </c>
      <c r="F307" s="27" t="inlineStr">
        <is>
          <t>Purple theme + interactive info booth + displays</t>
        </is>
      </c>
    </row>
    <row r="308">
      <c r="A308" s="4" t="inlineStr">
        <is>
          <t>Expert Healthcare Speaker</t>
        </is>
      </c>
      <c r="B308" s="5" t="inlineStr">
        <is>
          <t>Fee</t>
        </is>
      </c>
      <c r="C308" s="5" t="n">
        <v>1</v>
      </c>
      <c r="D308" s="22" t="n">
        <v>15000</v>
      </c>
      <c r="E308" s="23">
        <f>C308*D308</f>
        <v/>
      </c>
      <c r="F308" s="24" t="inlineStr">
        <is>
          <t>Neurologist or awareness specialist</t>
        </is>
      </c>
    </row>
    <row r="309">
      <c r="A309" s="7" t="inlineStr">
        <is>
          <t>Light Refreshments</t>
        </is>
      </c>
      <c r="B309" s="8" t="inlineStr">
        <is>
          <t>Per person</t>
        </is>
      </c>
      <c r="C309" s="8" t="n">
        <v>200</v>
      </c>
      <c r="D309" s="25" t="n">
        <v>45</v>
      </c>
      <c r="E309" s="26">
        <f>C309*D309</f>
        <v/>
      </c>
      <c r="F309" s="27" t="inlineStr">
        <is>
          <t>Coffee, healthy snacks, fruits</t>
        </is>
      </c>
    </row>
    <row r="310">
      <c r="A310" s="4" t="inlineStr">
        <is>
          <t>Purple Ribbons &amp; Awareness Items</t>
        </is>
      </c>
      <c r="B310" s="5" t="inlineStr">
        <is>
          <t>Per person</t>
        </is>
      </c>
      <c r="C310" s="5" t="n">
        <v>200</v>
      </c>
      <c r="D310" s="22" t="n">
        <v>20</v>
      </c>
      <c r="E310" s="23">
        <f>C310*D310</f>
        <v/>
      </c>
      <c r="F310" s="24" t="inlineStr">
        <is>
          <t>Branded awareness items + informational booklet</t>
        </is>
      </c>
    </row>
    <row r="311">
      <c r="A311" s="7" t="inlineStr">
        <is>
          <t>Photography</t>
        </is>
      </c>
      <c r="B311" s="8" t="inlineStr">
        <is>
          <t>2 hours</t>
        </is>
      </c>
      <c r="C311" s="8" t="n">
        <v>1</v>
      </c>
      <c r="D311" s="25" t="n">
        <v>3500</v>
      </c>
      <c r="E311" s="26">
        <f>C311*D311</f>
        <v/>
      </c>
      <c r="F311" s="27" t="inlineStr">
        <is>
          <t>Event coverage</t>
        </is>
      </c>
    </row>
    <row r="312">
      <c r="A312" s="11" t="inlineStr">
        <is>
          <t>Subtotal (Before Commission)</t>
        </is>
      </c>
      <c r="B312" s="15" t="n"/>
      <c r="C312" s="15" t="n"/>
      <c r="D312" s="15" t="n"/>
      <c r="E312" s="13">
        <f>SUM(E306:E311)</f>
        <v/>
      </c>
      <c r="F312" s="15" t="n"/>
    </row>
    <row r="313">
      <c r="A313" s="11" t="inlineStr">
        <is>
          <t>Agency Commission (15%)</t>
        </is>
      </c>
      <c r="B313" s="12" t="inlineStr">
        <is>
          <t>15%</t>
        </is>
      </c>
      <c r="C313" s="15" t="n"/>
      <c r="D313" s="15" t="n"/>
      <c r="E313" s="13">
        <f>E312*0.15</f>
        <v/>
      </c>
      <c r="F313" s="28" t="inlineStr">
        <is>
          <t>Agency management, planning &amp; execution fee</t>
        </is>
      </c>
    </row>
    <row r="314">
      <c r="A314" s="29" t="inlineStr">
        <is>
          <t>▶ EVENT 22: World Alzheimer's Day – TOTAL</t>
        </is>
      </c>
      <c r="B314" s="29" t="n"/>
      <c r="C314" s="29" t="n"/>
      <c r="D314" s="29" t="n"/>
      <c r="E314" s="30">
        <f>E312+E313</f>
        <v/>
      </c>
      <c r="F314" s="29" t="n"/>
    </row>
    <row r="316">
      <c r="A316" s="21" t="inlineStr">
        <is>
          <t>EVENT 23: وش دورنا – What's Our Role (وش دورنا) | Date: September | Attendance: 200 | SERA HQ</t>
        </is>
      </c>
    </row>
    <row r="317">
      <c r="A317" s="3" t="inlineStr">
        <is>
          <t>Cost Item</t>
        </is>
      </c>
      <c r="B317" s="3" t="inlineStr">
        <is>
          <t>Unit</t>
        </is>
      </c>
      <c r="C317" s="3" t="inlineStr">
        <is>
          <t>Qty</t>
        </is>
      </c>
      <c r="D317" s="3" t="inlineStr">
        <is>
          <t>Unit Price (SAR)</t>
        </is>
      </c>
      <c r="E317" s="3" t="inlineStr">
        <is>
          <t>Total (SAR)</t>
        </is>
      </c>
      <c r="F317" s="3" t="inlineStr">
        <is>
          <t>Notes</t>
        </is>
      </c>
    </row>
    <row r="318">
      <c r="A318" s="4" t="inlineStr">
        <is>
          <t>Venue</t>
        </is>
      </c>
      <c r="B318" s="5" t="inlineStr">
        <is>
          <t>SERA HQ</t>
        </is>
      </c>
      <c r="C318" s="5" t="n">
        <v>1</v>
      </c>
      <c r="D318" s="22" t="n">
        <v>0</v>
      </c>
      <c r="E318" s="23">
        <f>C318*D318</f>
        <v/>
      </c>
      <c r="F318" s="24" t="inlineStr">
        <is>
          <t>Internal – no rental cost</t>
        </is>
      </c>
    </row>
    <row r="319">
      <c r="A319" s="7" t="inlineStr">
        <is>
          <t>Workshop Facilitation</t>
        </is>
      </c>
      <c r="B319" s="8" t="inlineStr">
        <is>
          <t>Package</t>
        </is>
      </c>
      <c r="C319" s="8" t="n">
        <v>1</v>
      </c>
      <c r="D319" s="25" t="n">
        <v>15000</v>
      </c>
      <c r="E319" s="26">
        <f>C319*D319</f>
        <v/>
      </c>
      <c r="F319" s="27" t="inlineStr">
        <is>
          <t>Professional facilitator, interactive sessions</t>
        </is>
      </c>
    </row>
    <row r="320">
      <c r="A320" s="4" t="inlineStr">
        <is>
          <t>Interactive Materials &amp; Displays</t>
        </is>
      </c>
      <c r="B320" s="5" t="inlineStr">
        <is>
          <t>Package</t>
        </is>
      </c>
      <c r="C320" s="5" t="n">
        <v>1</v>
      </c>
      <c r="D320" s="22" t="n">
        <v>10000</v>
      </c>
      <c r="E320" s="23">
        <f>C320*D320</f>
        <v/>
      </c>
      <c r="F320" s="24" t="inlineStr">
        <is>
          <t>Role clarity exercises, team activities, displays</t>
        </is>
      </c>
    </row>
    <row r="321">
      <c r="A321" s="7" t="inlineStr">
        <is>
          <t>Light Refreshments</t>
        </is>
      </c>
      <c r="B321" s="8" t="inlineStr">
        <is>
          <t>Per person</t>
        </is>
      </c>
      <c r="C321" s="8" t="n">
        <v>200</v>
      </c>
      <c r="D321" s="25" t="n">
        <v>45</v>
      </c>
      <c r="E321" s="26">
        <f>C321*D321</f>
        <v/>
      </c>
      <c r="F321" s="27" t="inlineStr">
        <is>
          <t>Coffee, snacks, lunch boxes</t>
        </is>
      </c>
    </row>
    <row r="322">
      <c r="A322" s="4" t="inlineStr">
        <is>
          <t>Awareness Materials</t>
        </is>
      </c>
      <c r="B322" s="5" t="inlineStr">
        <is>
          <t>Per person</t>
        </is>
      </c>
      <c r="C322" s="5" t="n">
        <v>200</v>
      </c>
      <c r="D322" s="22" t="n">
        <v>28</v>
      </c>
      <c r="E322" s="23">
        <f>C322*D322</f>
        <v/>
      </c>
      <c r="F322" s="24" t="inlineStr">
        <is>
          <t>Branded booklets, role guides, takeaways</t>
        </is>
      </c>
    </row>
    <row r="323">
      <c r="A323" s="7" t="inlineStr">
        <is>
          <t>Photography</t>
        </is>
      </c>
      <c r="B323" s="8" t="inlineStr">
        <is>
          <t>2 hours</t>
        </is>
      </c>
      <c r="C323" s="8" t="n">
        <v>1</v>
      </c>
      <c r="D323" s="25" t="n">
        <v>3000</v>
      </c>
      <c r="E323" s="26">
        <f>C323*D323</f>
        <v/>
      </c>
      <c r="F323" s="27" t="inlineStr">
        <is>
          <t>Event documentation</t>
        </is>
      </c>
    </row>
    <row r="324">
      <c r="A324" s="4" t="inlineStr">
        <is>
          <t>Event Branding &amp; Design</t>
        </is>
      </c>
      <c r="B324" s="5" t="inlineStr">
        <is>
          <t>Package</t>
        </is>
      </c>
      <c r="C324" s="5" t="n">
        <v>1</v>
      </c>
      <c r="D324" s="22" t="n">
        <v>14000</v>
      </c>
      <c r="E324" s="23">
        <f>C324*D324</f>
        <v/>
      </c>
      <c r="F324" s="24" t="inlineStr">
        <is>
          <t>Workshop signage, materials, social media kit</t>
        </is>
      </c>
    </row>
    <row r="325">
      <c r="A325" s="11" t="inlineStr">
        <is>
          <t>Subtotal (Before Commission)</t>
        </is>
      </c>
      <c r="B325" s="15" t="n"/>
      <c r="C325" s="15" t="n"/>
      <c r="D325" s="15" t="n"/>
      <c r="E325" s="13">
        <f>SUM(E318:E324)</f>
        <v/>
      </c>
      <c r="F325" s="15" t="n"/>
    </row>
    <row r="326">
      <c r="A326" s="11" t="inlineStr">
        <is>
          <t>Agency Commission (15%)</t>
        </is>
      </c>
      <c r="B326" s="12" t="inlineStr">
        <is>
          <t>15%</t>
        </is>
      </c>
      <c r="C326" s="15" t="n"/>
      <c r="D326" s="15" t="n"/>
      <c r="E326" s="13">
        <f>E325*0.15</f>
        <v/>
      </c>
      <c r="F326" s="28" t="inlineStr">
        <is>
          <t>Agency management, planning &amp; execution fee</t>
        </is>
      </c>
    </row>
    <row r="327">
      <c r="A327" s="29" t="inlineStr">
        <is>
          <t>▶ EVENT 23: وش دورنا – What's Our Role (وش دورنا) – TOTAL</t>
        </is>
      </c>
      <c r="B327" s="29" t="n"/>
      <c r="C327" s="29" t="n"/>
      <c r="D327" s="29" t="n"/>
      <c r="E327" s="30">
        <f>E325+E326</f>
        <v/>
      </c>
      <c r="F327" s="29" t="n"/>
    </row>
    <row r="329">
      <c r="A329" s="21" t="inlineStr">
        <is>
          <t>EVENT 24: Saudi National Day (96th) | Date: September 23 | Attendance: 300 | Premium Venue – Evening</t>
        </is>
      </c>
    </row>
    <row r="330">
      <c r="A330" s="3" t="inlineStr">
        <is>
          <t>Cost Item</t>
        </is>
      </c>
      <c r="B330" s="3" t="inlineStr">
        <is>
          <t>Unit</t>
        </is>
      </c>
      <c r="C330" s="3" t="inlineStr">
        <is>
          <t>Qty</t>
        </is>
      </c>
      <c r="D330" s="3" t="inlineStr">
        <is>
          <t>Unit Price (SAR)</t>
        </is>
      </c>
      <c r="E330" s="3" t="inlineStr">
        <is>
          <t>Total (SAR)</t>
        </is>
      </c>
      <c r="F330" s="3" t="inlineStr">
        <is>
          <t>Notes</t>
        </is>
      </c>
    </row>
    <row r="331">
      <c r="A331" s="4" t="inlineStr">
        <is>
          <t>Venue Rental (Premium + outdoor area)</t>
        </is>
      </c>
      <c r="B331" s="5" t="inlineStr">
        <is>
          <t>Evening</t>
        </is>
      </c>
      <c r="C331" s="5" t="n">
        <v>1</v>
      </c>
      <c r="D331" s="22" t="n">
        <v>65000</v>
      </c>
      <c r="E331" s="23">
        <f>C331*D331</f>
        <v/>
      </c>
      <c r="F331" s="31" t="inlineStr">
        <is>
          <t>[NOTE] Book 3-4 months ahead – extreme demand period</t>
        </is>
      </c>
    </row>
    <row r="332">
      <c r="A332" s="7" t="inlineStr">
        <is>
          <t>Catering – Saudi Traditional Feast</t>
        </is>
      </c>
      <c r="B332" s="8" t="inlineStr">
        <is>
          <t>Per person</t>
        </is>
      </c>
      <c r="C332" s="8" t="n">
        <v>300</v>
      </c>
      <c r="D332" s="25" t="n">
        <v>320</v>
      </c>
      <c r="E332" s="26">
        <f>C332*D332</f>
        <v/>
      </c>
      <c r="F332" s="27" t="inlineStr">
        <is>
          <t>Traditional Saudi dishes + modern, coffee ceremony, live stations</t>
        </is>
      </c>
    </row>
    <row r="333">
      <c r="A333" s="4" t="inlineStr">
        <is>
          <t>Stage &amp; Premium National Décor (Green)</t>
        </is>
      </c>
      <c r="B333" s="5" t="inlineStr">
        <is>
          <t>Package</t>
        </is>
      </c>
      <c r="C333" s="5" t="n">
        <v>1</v>
      </c>
      <c r="D333" s="22" t="n">
        <v>48000</v>
      </c>
      <c r="E333" s="23">
        <f>C333*D333</f>
        <v/>
      </c>
      <c r="F333" s="24" t="inlineStr">
        <is>
          <t>Flags, national symbols, green theme, immersive design</t>
        </is>
      </c>
    </row>
    <row r="334">
      <c r="A334" s="7" t="inlineStr">
        <is>
          <t>Ardah Performance Troupe</t>
        </is>
      </c>
      <c r="B334" s="8" t="inlineStr">
        <is>
          <t>Package</t>
        </is>
      </c>
      <c r="C334" s="8" t="n">
        <v>1</v>
      </c>
      <c r="D334" s="25" t="n">
        <v>24000</v>
      </c>
      <c r="E334" s="26">
        <f>C334*D334</f>
        <v/>
      </c>
      <c r="F334" s="27" t="inlineStr">
        <is>
          <t>Authentic Saudi traditional dance + sword dance</t>
        </is>
      </c>
    </row>
    <row r="335">
      <c r="A335" s="4" t="inlineStr">
        <is>
          <t>Saudi Cultural Entertainment</t>
        </is>
      </c>
      <c r="B335" s="5" t="inlineStr">
        <is>
          <t>Package</t>
        </is>
      </c>
      <c r="C335" s="5" t="n">
        <v>1</v>
      </c>
      <c r="D335" s="22" t="n">
        <v>18000</v>
      </c>
      <c r="E335" s="23">
        <f>C335*D335</f>
        <v/>
      </c>
      <c r="F335" s="24" t="inlineStr">
        <is>
          <t>Additional cultural acts + Saudi music + poet</t>
        </is>
      </c>
    </row>
    <row r="336">
      <c r="A336" s="7" t="inlineStr">
        <is>
          <t>LED Video Wall &amp; AV Production</t>
        </is>
      </c>
      <c r="B336" s="8" t="inlineStr">
        <is>
          <t>Package</t>
        </is>
      </c>
      <c r="C336" s="8" t="n">
        <v>1</v>
      </c>
      <c r="D336" s="25" t="n">
        <v>24000</v>
      </c>
      <c r="E336" s="26">
        <f>C336*D336</f>
        <v/>
      </c>
      <c r="F336" s="27" t="inlineStr">
        <is>
          <t>National content, anthem, videos on LED, special effects</t>
        </is>
      </c>
    </row>
    <row r="337">
      <c r="A337" s="4" t="inlineStr">
        <is>
          <t>Photography &amp; Videography (Full team)</t>
        </is>
      </c>
      <c r="B337" s="5" t="inlineStr">
        <is>
          <t>Package</t>
        </is>
      </c>
      <c r="C337" s="5" t="n">
        <v>1</v>
      </c>
      <c r="D337" s="22" t="n">
        <v>20000</v>
      </c>
      <c r="E337" s="23">
        <f>C337*D337</f>
        <v/>
      </c>
      <c r="F337" s="24" t="inlineStr">
        <is>
          <t>Premium coverage + drone + same-day preview</t>
        </is>
      </c>
    </row>
    <row r="338">
      <c r="A338" s="7" t="inlineStr">
        <is>
          <t>National Day Themed Gifts</t>
        </is>
      </c>
      <c r="B338" s="8" t="inlineStr">
        <is>
          <t>Per person</t>
        </is>
      </c>
      <c r="C338" s="8" t="n">
        <v>300</v>
      </c>
      <c r="D338" s="25" t="n">
        <v>125</v>
      </c>
      <c r="E338" s="26">
        <f>C338*D338</f>
        <v/>
      </c>
      <c r="F338" s="27" t="inlineStr">
        <is>
          <t>Patriotic premium gift items with SERA branding</t>
        </is>
      </c>
    </row>
    <row r="339">
      <c r="A339" s="4" t="inlineStr">
        <is>
          <t>Green Lighting &amp; Special Effects</t>
        </is>
      </c>
      <c r="B339" s="5" t="inlineStr">
        <is>
          <t>Package</t>
        </is>
      </c>
      <c r="C339" s="5" t="n">
        <v>1</v>
      </c>
      <c r="D339" s="22" t="n">
        <v>20000</v>
      </c>
      <c r="E339" s="23">
        <f>C339*D339</f>
        <v/>
      </c>
      <c r="F339" s="24" t="inlineStr">
        <is>
          <t>Building/venue green wash + laser + effects</t>
        </is>
      </c>
    </row>
    <row r="340">
      <c r="A340" s="7" t="inlineStr">
        <is>
          <t>Professional MC</t>
        </is>
      </c>
      <c r="B340" s="8" t="inlineStr">
        <is>
          <t>Full event</t>
        </is>
      </c>
      <c r="C340" s="8" t="n">
        <v>1</v>
      </c>
      <c r="D340" s="25" t="n">
        <v>12000</v>
      </c>
      <c r="E340" s="26">
        <f>C340*D340</f>
        <v/>
      </c>
      <c r="F340" s="27" t="inlineStr">
        <is>
          <t>National Day host</t>
        </is>
      </c>
    </row>
    <row r="341">
      <c r="A341" s="4" t="inlineStr">
        <is>
          <t>Event Branding &amp; Design</t>
        </is>
      </c>
      <c r="B341" s="5" t="inlineStr">
        <is>
          <t>Package</t>
        </is>
      </c>
      <c r="C341" s="5" t="n">
        <v>1</v>
      </c>
      <c r="D341" s="22" t="n">
        <v>16000</v>
      </c>
      <c r="E341" s="23">
        <f>C341*D341</f>
        <v/>
      </c>
      <c r="F341" s="24" t="inlineStr">
        <is>
          <t>Invitations, signage, social media kit, print, digital assets</t>
        </is>
      </c>
    </row>
    <row r="342">
      <c r="A342" s="7" t="inlineStr">
        <is>
          <t>Fireworks / Confetti Finale</t>
        </is>
      </c>
      <c r="B342" s="8" t="inlineStr">
        <is>
          <t>Package</t>
        </is>
      </c>
      <c r="C342" s="8" t="n">
        <v>1</v>
      </c>
      <c r="D342" s="25" t="n">
        <v>15000</v>
      </c>
      <c r="E342" s="26">
        <f>C342*D342</f>
        <v/>
      </c>
      <c r="F342" s="32" t="inlineStr">
        <is>
          <t>[NOTE] Indoor confetti/CO2 if fireworks not permitted</t>
        </is>
      </c>
    </row>
    <row r="343">
      <c r="A343" s="11" t="inlineStr">
        <is>
          <t>Subtotal (Before Commission)</t>
        </is>
      </c>
      <c r="B343" s="15" t="n"/>
      <c r="C343" s="15" t="n"/>
      <c r="D343" s="15" t="n"/>
      <c r="E343" s="13">
        <f>SUM(E331:E342)</f>
        <v/>
      </c>
      <c r="F343" s="15" t="n"/>
    </row>
    <row r="344">
      <c r="A344" s="11" t="inlineStr">
        <is>
          <t>Agency Commission (15%)</t>
        </is>
      </c>
      <c r="B344" s="12" t="inlineStr">
        <is>
          <t>15%</t>
        </is>
      </c>
      <c r="C344" s="15" t="n"/>
      <c r="D344" s="15" t="n"/>
      <c r="E344" s="13">
        <f>E343*0.15</f>
        <v/>
      </c>
      <c r="F344" s="28" t="inlineStr">
        <is>
          <t>Agency management, planning &amp; execution fee</t>
        </is>
      </c>
    </row>
    <row r="345">
      <c r="A345" s="29" t="inlineStr">
        <is>
          <t>▶ EVENT 24: Saudi National Day (96th) – TOTAL</t>
        </is>
      </c>
      <c r="B345" s="29" t="n"/>
      <c r="C345" s="29" t="n"/>
      <c r="D345" s="29" t="n"/>
      <c r="E345" s="30">
        <f>E343+E344</f>
        <v/>
      </c>
      <c r="F345" s="29" t="n"/>
    </row>
    <row r="347">
      <c r="A347" s="21" t="inlineStr">
        <is>
          <t>EVENT 25: Environment Week (أسبوع البيئة) | Date: Q3 TBD | Attendance: 250 | SERA HQ</t>
        </is>
      </c>
    </row>
    <row r="348">
      <c r="A348" s="3" t="inlineStr">
        <is>
          <t>Cost Item</t>
        </is>
      </c>
      <c r="B348" s="3" t="inlineStr">
        <is>
          <t>Unit</t>
        </is>
      </c>
      <c r="C348" s="3" t="inlineStr">
        <is>
          <t>Qty</t>
        </is>
      </c>
      <c r="D348" s="3" t="inlineStr">
        <is>
          <t>Unit Price (SAR)</t>
        </is>
      </c>
      <c r="E348" s="3" t="inlineStr">
        <is>
          <t>Total (SAR)</t>
        </is>
      </c>
      <c r="F348" s="3" t="inlineStr">
        <is>
          <t>Notes</t>
        </is>
      </c>
    </row>
    <row r="349">
      <c r="A349" s="4" t="inlineStr">
        <is>
          <t>Venue</t>
        </is>
      </c>
      <c r="B349" s="5" t="inlineStr">
        <is>
          <t>SERA HQ</t>
        </is>
      </c>
      <c r="C349" s="5" t="n">
        <v>1</v>
      </c>
      <c r="D349" s="22" t="n">
        <v>0</v>
      </c>
      <c r="E349" s="23">
        <f>C349*D349</f>
        <v/>
      </c>
      <c r="F349" s="24" t="inlineStr">
        <is>
          <t>Internal – no rental cost</t>
        </is>
      </c>
    </row>
    <row r="350">
      <c r="A350" s="7" t="inlineStr">
        <is>
          <t>Environment Exhibition &amp; Booths (5 days)</t>
        </is>
      </c>
      <c r="B350" s="8" t="inlineStr">
        <is>
          <t>Package</t>
        </is>
      </c>
      <c r="C350" s="8" t="n">
        <v>1</v>
      </c>
      <c r="D350" s="25" t="n">
        <v>20000</v>
      </c>
      <c r="E350" s="26">
        <f>C350*D350</f>
        <v/>
      </c>
      <c r="F350" s="27" t="inlineStr">
        <is>
          <t>Sustainability displays, recycling demos, green projects</t>
        </is>
      </c>
    </row>
    <row r="351">
      <c r="A351" s="4" t="inlineStr">
        <is>
          <t>Expert Speakers (3 sessions)</t>
        </is>
      </c>
      <c r="B351" s="5" t="inlineStr">
        <is>
          <t>Fee</t>
        </is>
      </c>
      <c r="C351" s="5" t="n">
        <v>3</v>
      </c>
      <c r="D351" s="22" t="n">
        <v>8000</v>
      </c>
      <c r="E351" s="23">
        <f>C351*D351</f>
        <v/>
      </c>
      <c r="F351" s="24" t="inlineStr">
        <is>
          <t>Environment &amp; sustainability experts across the week</t>
        </is>
      </c>
    </row>
    <row r="352">
      <c r="A352" s="7" t="inlineStr">
        <is>
          <t>Awareness Materials &amp; Eco Giveaways</t>
        </is>
      </c>
      <c r="B352" s="8" t="inlineStr">
        <is>
          <t>Per person</t>
        </is>
      </c>
      <c r="C352" s="8" t="n">
        <v>250</v>
      </c>
      <c r="D352" s="25" t="n">
        <v>30</v>
      </c>
      <c r="E352" s="26">
        <f>C352*D352</f>
        <v/>
      </c>
      <c r="F352" s="27" t="inlineStr">
        <is>
          <t>Eco-friendly items, seed kits, reusable products</t>
        </is>
      </c>
    </row>
    <row r="353">
      <c r="A353" s="4" t="inlineStr">
        <is>
          <t>Green Activities &amp; Workshops</t>
        </is>
      </c>
      <c r="B353" s="5" t="inlineStr">
        <is>
          <t>Package</t>
        </is>
      </c>
      <c r="C353" s="5" t="n">
        <v>1</v>
      </c>
      <c r="D353" s="22" t="n">
        <v>15000</v>
      </c>
      <c r="E353" s="23">
        <f>C353*D353</f>
        <v/>
      </c>
      <c r="F353" s="24" t="inlineStr">
        <is>
          <t>Tree planting, upcycling workshop, waste reduction demos</t>
        </is>
      </c>
    </row>
    <row r="354">
      <c r="A354" s="7" t="inlineStr">
        <is>
          <t>Light Refreshments (5 days)</t>
        </is>
      </c>
      <c r="B354" s="8" t="inlineStr">
        <is>
          <t>Per person</t>
        </is>
      </c>
      <c r="C354" s="8" t="n">
        <v>250</v>
      </c>
      <c r="D354" s="25" t="n">
        <v>40</v>
      </c>
      <c r="E354" s="26">
        <f>C354*D354</f>
        <v/>
      </c>
      <c r="F354" s="27" t="inlineStr">
        <is>
          <t>Daily healthy refreshments, minimal-waste serving</t>
        </is>
      </c>
    </row>
    <row r="355">
      <c r="A355" s="4" t="inlineStr">
        <is>
          <t>Photography (Full week)</t>
        </is>
      </c>
      <c r="B355" s="5" t="inlineStr">
        <is>
          <t>Package</t>
        </is>
      </c>
      <c r="C355" s="5" t="n">
        <v>1</v>
      </c>
      <c r="D355" s="22" t="n">
        <v>10000</v>
      </c>
      <c r="E355" s="23">
        <f>C355*D355</f>
        <v/>
      </c>
      <c r="F355" s="24" t="inlineStr">
        <is>
          <t>Daily coverage + week highlight reel</t>
        </is>
      </c>
    </row>
    <row r="356">
      <c r="A356" s="7" t="inlineStr">
        <is>
          <t>Event Branding &amp; Design</t>
        </is>
      </c>
      <c r="B356" s="8" t="inlineStr">
        <is>
          <t>Package</t>
        </is>
      </c>
      <c r="C356" s="8" t="n">
        <v>1</v>
      </c>
      <c r="D356" s="25" t="n">
        <v>14000</v>
      </c>
      <c r="E356" s="26">
        <f>C356*D356</f>
        <v/>
      </c>
      <c r="F356" s="27" t="inlineStr">
        <is>
          <t>Environment-themed signage, booth designs, social media kit</t>
        </is>
      </c>
    </row>
    <row r="357">
      <c r="A357" s="11" t="inlineStr">
        <is>
          <t>Subtotal (Before Commission)</t>
        </is>
      </c>
      <c r="B357" s="15" t="n"/>
      <c r="C357" s="15" t="n"/>
      <c r="D357" s="15" t="n"/>
      <c r="E357" s="13">
        <f>SUM(E349:E356)</f>
        <v/>
      </c>
      <c r="F357" s="15" t="n"/>
    </row>
    <row r="358">
      <c r="A358" s="11" t="inlineStr">
        <is>
          <t>Agency Commission (15%)</t>
        </is>
      </c>
      <c r="B358" s="12" t="inlineStr">
        <is>
          <t>15%</t>
        </is>
      </c>
      <c r="C358" s="15" t="n"/>
      <c r="D358" s="15" t="n"/>
      <c r="E358" s="13">
        <f>E357*0.15</f>
        <v/>
      </c>
      <c r="F358" s="28" t="inlineStr">
        <is>
          <t>Agency management, planning &amp; execution fee</t>
        </is>
      </c>
    </row>
    <row r="359">
      <c r="A359" s="29" t="inlineStr">
        <is>
          <t>▶ EVENT 25: Environment Week (أسبوع البيئة) – TOTAL</t>
        </is>
      </c>
      <c r="B359" s="29" t="n"/>
      <c r="C359" s="29" t="n"/>
      <c r="D359" s="29" t="n"/>
      <c r="E359" s="30">
        <f>E357+E358</f>
        <v/>
      </c>
      <c r="F359" s="29" t="n"/>
    </row>
    <row r="362">
      <c r="A362" s="1" t="inlineStr">
        <is>
          <t>Q4 EVENTS</t>
        </is>
      </c>
    </row>
    <row r="363">
      <c r="A363" s="21" t="inlineStr">
        <is>
          <t>EVENT 26: International Coffee Day | Date: October 1 | Attendance: 250 | SERA HQ</t>
        </is>
      </c>
    </row>
    <row r="364">
      <c r="A364" s="3" t="inlineStr">
        <is>
          <t>Cost Item</t>
        </is>
      </c>
      <c r="B364" s="3" t="inlineStr">
        <is>
          <t>Unit</t>
        </is>
      </c>
      <c r="C364" s="3" t="inlineStr">
        <is>
          <t>Qty</t>
        </is>
      </c>
      <c r="D364" s="3" t="inlineStr">
        <is>
          <t>Unit Price (SAR)</t>
        </is>
      </c>
      <c r="E364" s="3" t="inlineStr">
        <is>
          <t>Total (SAR)</t>
        </is>
      </c>
      <c r="F364" s="3" t="inlineStr">
        <is>
          <t>Notes</t>
        </is>
      </c>
    </row>
    <row r="365">
      <c r="A365" s="4" t="inlineStr">
        <is>
          <t>Venue</t>
        </is>
      </c>
      <c r="B365" s="5" t="inlineStr">
        <is>
          <t>SERA HQ</t>
        </is>
      </c>
      <c r="C365" s="5" t="n">
        <v>1</v>
      </c>
      <c r="D365" s="22" t="n">
        <v>0</v>
      </c>
      <c r="E365" s="23">
        <f>C365*D365</f>
        <v/>
      </c>
      <c r="F365" s="24" t="inlineStr">
        <is>
          <t>Internal</t>
        </is>
      </c>
    </row>
    <row r="366">
      <c r="A366" s="7" t="inlineStr">
        <is>
          <t>Professional Barista Station</t>
        </is>
      </c>
      <c r="B366" s="8" t="inlineStr">
        <is>
          <t>Package</t>
        </is>
      </c>
      <c r="C366" s="8" t="n">
        <v>1</v>
      </c>
      <c r="D366" s="25" t="n">
        <v>14000</v>
      </c>
      <c r="E366" s="26">
        <f>C366*D366</f>
        <v/>
      </c>
      <c r="F366" s="27" t="inlineStr">
        <is>
          <t>Specialty coffee equipment + 2 baristas</t>
        </is>
      </c>
    </row>
    <row r="367">
      <c r="A367" s="4" t="inlineStr">
        <is>
          <t>Arabic Coffee Ceremony (Dallah)</t>
        </is>
      </c>
      <c r="B367" s="5" t="inlineStr">
        <is>
          <t>Package</t>
        </is>
      </c>
      <c r="C367" s="5" t="n">
        <v>1</v>
      </c>
      <c r="D367" s="22" t="n">
        <v>8000</v>
      </c>
      <c r="E367" s="23">
        <f>C367*D367</f>
        <v/>
      </c>
      <c r="F367" s="24" t="inlineStr">
        <is>
          <t>Traditional service with premium dates + Saudiya coffee</t>
        </is>
      </c>
    </row>
    <row r="368">
      <c r="A368" s="7" t="inlineStr">
        <is>
          <t>International Coffee + Pastries</t>
        </is>
      </c>
      <c r="B368" s="8" t="inlineStr">
        <is>
          <t>Per person</t>
        </is>
      </c>
      <c r="C368" s="8" t="n">
        <v>250</v>
      </c>
      <c r="D368" s="25" t="n">
        <v>55</v>
      </c>
      <c r="E368" s="26">
        <f>C368*D368</f>
        <v/>
      </c>
      <c r="F368" s="27" t="inlineStr">
        <is>
          <t>Various coffees + gourmet pastries + chocolate</t>
        </is>
      </c>
    </row>
    <row r="369">
      <c r="A369" s="4" t="inlineStr">
        <is>
          <t>Coffee-Themed Décor &amp; Setup</t>
        </is>
      </c>
      <c r="B369" s="5" t="inlineStr">
        <is>
          <t>Package</t>
        </is>
      </c>
      <c r="C369" s="5" t="n">
        <v>1</v>
      </c>
      <c r="D369" s="22" t="n">
        <v>7000</v>
      </c>
      <c r="E369" s="23">
        <f>C369*D369</f>
        <v/>
      </c>
      <c r="F369" s="24" t="inlineStr">
        <is>
          <t>Full theming + bean displays</t>
        </is>
      </c>
    </row>
    <row r="370">
      <c r="A370" s="7" t="inlineStr">
        <is>
          <t>Photography</t>
        </is>
      </c>
      <c r="B370" s="8" t="inlineStr">
        <is>
          <t>2 hours</t>
        </is>
      </c>
      <c r="C370" s="8" t="n">
        <v>1</v>
      </c>
      <c r="D370" s="25" t="n">
        <v>3500</v>
      </c>
      <c r="E370" s="26">
        <f>C370*D370</f>
        <v/>
      </c>
      <c r="F370" s="27" t="inlineStr">
        <is>
          <t>Event coverage</t>
        </is>
      </c>
    </row>
    <row r="371">
      <c r="A371" s="11" t="inlineStr">
        <is>
          <t>Subtotal (Before Commission)</t>
        </is>
      </c>
      <c r="B371" s="15" t="n"/>
      <c r="C371" s="15" t="n"/>
      <c r="D371" s="15" t="n"/>
      <c r="E371" s="13">
        <f>SUM(E365:E370)</f>
        <v/>
      </c>
      <c r="F371" s="15" t="n"/>
    </row>
    <row r="372">
      <c r="A372" s="11" t="inlineStr">
        <is>
          <t>Agency Commission (15%)</t>
        </is>
      </c>
      <c r="B372" s="12" t="inlineStr">
        <is>
          <t>15%</t>
        </is>
      </c>
      <c r="C372" s="15" t="n"/>
      <c r="D372" s="15" t="n"/>
      <c r="E372" s="13">
        <f>E371*0.15</f>
        <v/>
      </c>
      <c r="F372" s="28" t="inlineStr">
        <is>
          <t>Agency management, planning &amp; execution fee</t>
        </is>
      </c>
    </row>
    <row r="373">
      <c r="A373" s="29" t="inlineStr">
        <is>
          <t>▶ EVENT 26: International Coffee Day – TOTAL</t>
        </is>
      </c>
      <c r="B373" s="29" t="n"/>
      <c r="C373" s="29" t="n"/>
      <c r="D373" s="29" t="n"/>
      <c r="E373" s="30">
        <f>E371+E372</f>
        <v/>
      </c>
      <c r="F373" s="29" t="n"/>
    </row>
    <row r="375">
      <c r="A375" s="21" t="inlineStr">
        <is>
          <t>EVENT 27: Breast Cancer Awareness Day (اليوم العالمي لسرطان الثدي) | Date: October | Attendance: 200 | SERA HQ</t>
        </is>
      </c>
    </row>
    <row r="376">
      <c r="A376" s="3" t="inlineStr">
        <is>
          <t>Cost Item</t>
        </is>
      </c>
      <c r="B376" s="3" t="inlineStr">
        <is>
          <t>Unit</t>
        </is>
      </c>
      <c r="C376" s="3" t="inlineStr">
        <is>
          <t>Qty</t>
        </is>
      </c>
      <c r="D376" s="3" t="inlineStr">
        <is>
          <t>Unit Price (SAR)</t>
        </is>
      </c>
      <c r="E376" s="3" t="inlineStr">
        <is>
          <t>Total (SAR)</t>
        </is>
      </c>
      <c r="F376" s="3" t="inlineStr">
        <is>
          <t>Notes</t>
        </is>
      </c>
    </row>
    <row r="377">
      <c r="A377" s="4" t="inlineStr">
        <is>
          <t>Venue</t>
        </is>
      </c>
      <c r="B377" s="5" t="inlineStr">
        <is>
          <t>SERA HQ</t>
        </is>
      </c>
      <c r="C377" s="5" t="n">
        <v>1</v>
      </c>
      <c r="D377" s="22" t="n">
        <v>0</v>
      </c>
      <c r="E377" s="23">
        <f>C377*D377</f>
        <v/>
      </c>
      <c r="F377" s="24" t="inlineStr">
        <is>
          <t>Internal – no rental cost</t>
        </is>
      </c>
    </row>
    <row r="378">
      <c r="A378" s="7" t="inlineStr">
        <is>
          <t>Pink Décor &amp; Awareness Displays</t>
        </is>
      </c>
      <c r="B378" s="8" t="inlineStr">
        <is>
          <t>Package</t>
        </is>
      </c>
      <c r="C378" s="8" t="n">
        <v>1</v>
      </c>
      <c r="D378" s="25" t="n">
        <v>12000</v>
      </c>
      <c r="E378" s="26">
        <f>C378*D378</f>
        <v/>
      </c>
      <c r="F378" s="27" t="inlineStr">
        <is>
          <t>Pink ribbon theme, survivor stories, info panels</t>
        </is>
      </c>
    </row>
    <row r="379">
      <c r="A379" s="4" t="inlineStr">
        <is>
          <t>Healthcare Expert Speaker</t>
        </is>
      </c>
      <c r="B379" s="5" t="inlineStr">
        <is>
          <t>Fee</t>
        </is>
      </c>
      <c r="C379" s="5" t="n">
        <v>1</v>
      </c>
      <c r="D379" s="22" t="n">
        <v>12000</v>
      </c>
      <c r="E379" s="23">
        <f>C379*D379</f>
        <v/>
      </c>
      <c r="F379" s="24" t="inlineStr">
        <is>
          <t>Oncologist or breast cancer awareness specialist</t>
        </is>
      </c>
    </row>
    <row r="380">
      <c r="A380" s="7" t="inlineStr">
        <is>
          <t>Screening Awareness Materials</t>
        </is>
      </c>
      <c r="B380" s="8" t="inlineStr">
        <is>
          <t>Per person</t>
        </is>
      </c>
      <c r="C380" s="8" t="n">
        <v>200</v>
      </c>
      <c r="D380" s="25" t="n">
        <v>25</v>
      </c>
      <c r="E380" s="26">
        <f>C380*D380</f>
        <v/>
      </c>
      <c r="F380" s="27" t="inlineStr">
        <is>
          <t>Self-exam guides, awareness booklets, info cards</t>
        </is>
      </c>
    </row>
    <row r="381">
      <c r="A381" s="4" t="inlineStr">
        <is>
          <t>Pink Ribbons &amp; Awareness Items</t>
        </is>
      </c>
      <c r="B381" s="5" t="inlineStr">
        <is>
          <t>Per person</t>
        </is>
      </c>
      <c r="C381" s="5" t="n">
        <v>200</v>
      </c>
      <c r="D381" s="22" t="n">
        <v>30</v>
      </c>
      <c r="E381" s="23">
        <f>C381*D381</f>
        <v/>
      </c>
      <c r="F381" s="24" t="inlineStr">
        <is>
          <t>Pink ribbon pins, branded awareness items</t>
        </is>
      </c>
    </row>
    <row r="382">
      <c r="A382" s="7" t="inlineStr">
        <is>
          <t>Light Refreshments</t>
        </is>
      </c>
      <c r="B382" s="8" t="inlineStr">
        <is>
          <t>Per person</t>
        </is>
      </c>
      <c r="C382" s="8" t="n">
        <v>200</v>
      </c>
      <c r="D382" s="25" t="n">
        <v>40</v>
      </c>
      <c r="E382" s="26">
        <f>C382*D382</f>
        <v/>
      </c>
      <c r="F382" s="27" t="inlineStr">
        <is>
          <t>Coffee, healthy snacks, pink-themed treats</t>
        </is>
      </c>
    </row>
    <row r="383">
      <c r="A383" s="4" t="inlineStr">
        <is>
          <t>Photography</t>
        </is>
      </c>
      <c r="B383" s="5" t="inlineStr">
        <is>
          <t>2 hours</t>
        </is>
      </c>
      <c r="C383" s="5" t="n">
        <v>1</v>
      </c>
      <c r="D383" s="22" t="n">
        <v>3000</v>
      </c>
      <c r="E383" s="23">
        <f>C383*D383</f>
        <v/>
      </c>
      <c r="F383" s="24" t="inlineStr">
        <is>
          <t>Event documentation</t>
        </is>
      </c>
    </row>
    <row r="384">
      <c r="A384" s="7" t="inlineStr">
        <is>
          <t>Event Branding &amp; Design</t>
        </is>
      </c>
      <c r="B384" s="8" t="inlineStr">
        <is>
          <t>Package</t>
        </is>
      </c>
      <c r="C384" s="8" t="n">
        <v>1</v>
      </c>
      <c r="D384" s="25" t="n">
        <v>14000</v>
      </c>
      <c r="E384" s="26">
        <f>C384*D384</f>
        <v/>
      </c>
      <c r="F384" s="27" t="inlineStr">
        <is>
          <t>Pink-themed signage, displays, social media kit</t>
        </is>
      </c>
    </row>
    <row r="385">
      <c r="A385" s="11" t="inlineStr">
        <is>
          <t>Subtotal (Before Commission)</t>
        </is>
      </c>
      <c r="B385" s="15" t="n"/>
      <c r="C385" s="15" t="n"/>
      <c r="D385" s="15" t="n"/>
      <c r="E385" s="13">
        <f>SUM(E377:E384)</f>
        <v/>
      </c>
      <c r="F385" s="15" t="n"/>
    </row>
    <row r="386">
      <c r="A386" s="11" t="inlineStr">
        <is>
          <t>Agency Commission (15%)</t>
        </is>
      </c>
      <c r="B386" s="12" t="inlineStr">
        <is>
          <t>15%</t>
        </is>
      </c>
      <c r="C386" s="15" t="n"/>
      <c r="D386" s="15" t="n"/>
      <c r="E386" s="13">
        <f>E385*0.15</f>
        <v/>
      </c>
      <c r="F386" s="28" t="inlineStr">
        <is>
          <t>Agency management, planning &amp; execution fee</t>
        </is>
      </c>
    </row>
    <row r="387">
      <c r="A387" s="29" t="inlineStr">
        <is>
          <t>▶ EVENT 27: Breast Cancer Awareness Day (اليوم العالمي لسرطان الثدي) – TOTAL</t>
        </is>
      </c>
      <c r="B387" s="29" t="n"/>
      <c r="C387" s="29" t="n"/>
      <c r="D387" s="29" t="n"/>
      <c r="E387" s="30">
        <f>E385+E386</f>
        <v/>
      </c>
      <c r="F387" s="29" t="n"/>
    </row>
    <row r="389">
      <c r="A389" s="21" t="inlineStr">
        <is>
          <t>EVENT 28: Cybersecurity Exhibition | Date: October TBD | Attendance: 250 | SERA HQ / Conference</t>
        </is>
      </c>
    </row>
    <row r="390">
      <c r="A390" s="3" t="inlineStr">
        <is>
          <t>Cost Item</t>
        </is>
      </c>
      <c r="B390" s="3" t="inlineStr">
        <is>
          <t>Unit</t>
        </is>
      </c>
      <c r="C390" s="3" t="inlineStr">
        <is>
          <t>Qty</t>
        </is>
      </c>
      <c r="D390" s="3" t="inlineStr">
        <is>
          <t>Unit Price (SAR)</t>
        </is>
      </c>
      <c r="E390" s="3" t="inlineStr">
        <is>
          <t>Total (SAR)</t>
        </is>
      </c>
      <c r="F390" s="3" t="inlineStr">
        <is>
          <t>Notes</t>
        </is>
      </c>
    </row>
    <row r="391">
      <c r="A391" s="4" t="inlineStr">
        <is>
          <t>Venue Setup</t>
        </is>
      </c>
      <c r="B391" s="5" t="inlineStr">
        <is>
          <t>SERA HQ</t>
        </is>
      </c>
      <c r="C391" s="5" t="n">
        <v>1</v>
      </c>
      <c r="D391" s="22" t="n">
        <v>12000</v>
      </c>
      <c r="E391" s="23">
        <f>C391*D391</f>
        <v/>
      </c>
      <c r="F391" s="24" t="inlineStr">
        <is>
          <t>Internal setup + additional infrastructure + networking</t>
        </is>
      </c>
    </row>
    <row r="392">
      <c r="A392" s="7" t="inlineStr">
        <is>
          <t>Interactive Exhibition Booths</t>
        </is>
      </c>
      <c r="B392" s="8" t="inlineStr">
        <is>
          <t>Per booth</t>
        </is>
      </c>
      <c r="C392" s="8" t="n">
        <v>6</v>
      </c>
      <c r="D392" s="25" t="n">
        <v>14000</v>
      </c>
      <c r="E392" s="26">
        <f>C392*D392</f>
        <v/>
      </c>
      <c r="F392" s="27" t="inlineStr">
        <is>
          <t>6 interactive cybersecurity demo stations with screens</t>
        </is>
      </c>
    </row>
    <row r="393">
      <c r="A393" s="4" t="inlineStr">
        <is>
          <t>Cybersecurity Expert Speakers</t>
        </is>
      </c>
      <c r="B393" s="5" t="inlineStr">
        <is>
          <t>Fee</t>
        </is>
      </c>
      <c r="C393" s="5" t="n">
        <v>2</v>
      </c>
      <c r="D393" s="22" t="n">
        <v>15000</v>
      </c>
      <c r="E393" s="23">
        <f>C393*D393</f>
        <v/>
      </c>
      <c r="F393" s="24" t="inlineStr">
        <is>
          <t>2 industry-leading experts</t>
        </is>
      </c>
    </row>
    <row r="394">
      <c r="A394" s="7" t="inlineStr">
        <is>
          <t>Interactive Simulations &amp; Demos</t>
        </is>
      </c>
      <c r="B394" s="8" t="inlineStr">
        <is>
          <t>Package</t>
        </is>
      </c>
      <c r="C394" s="8" t="n">
        <v>1</v>
      </c>
      <c r="D394" s="25" t="n">
        <v>22000</v>
      </c>
      <c r="E394" s="26">
        <f>C394*D394</f>
        <v/>
      </c>
      <c r="F394" s="27" t="inlineStr">
        <is>
          <t>Phishing demos, password games, VR, AI threats</t>
        </is>
      </c>
    </row>
    <row r="395">
      <c r="A395" s="4" t="inlineStr">
        <is>
          <t>Awareness Materials &amp; Branded Giveaways</t>
        </is>
      </c>
      <c r="B395" s="5" t="inlineStr">
        <is>
          <t>Per person</t>
        </is>
      </c>
      <c r="C395" s="5" t="n">
        <v>250</v>
      </c>
      <c r="D395" s="22" t="n">
        <v>60</v>
      </c>
      <c r="E395" s="23">
        <f>C395*D395</f>
        <v/>
      </c>
      <c r="F395" s="24" t="inlineStr">
        <is>
          <t>Secure USB, materials, guides, branded items</t>
        </is>
      </c>
    </row>
    <row r="396">
      <c r="A396" s="7" t="inlineStr">
        <is>
          <t>Catering (Full day)</t>
        </is>
      </c>
      <c r="B396" s="8" t="inlineStr">
        <is>
          <t>Per person</t>
        </is>
      </c>
      <c r="C396" s="8" t="n">
        <v>250</v>
      </c>
      <c r="D396" s="25" t="n">
        <v>165</v>
      </c>
      <c r="E396" s="26">
        <f>C396*D396</f>
        <v/>
      </c>
      <c r="F396" s="27" t="inlineStr">
        <is>
          <t>Lunch + 2 premium coffee breaks</t>
        </is>
      </c>
    </row>
    <row r="397">
      <c r="A397" s="4" t="inlineStr">
        <is>
          <t>Photography &amp; Videography</t>
        </is>
      </c>
      <c r="B397" s="5" t="inlineStr">
        <is>
          <t>Package</t>
        </is>
      </c>
      <c r="C397" s="5" t="n">
        <v>1</v>
      </c>
      <c r="D397" s="22" t="n">
        <v>12000</v>
      </c>
      <c r="E397" s="23">
        <f>C397*D397</f>
        <v/>
      </c>
      <c r="F397" s="24" t="inlineStr">
        <is>
          <t>Full day coverage + exhibition walkthrough video</t>
        </is>
      </c>
    </row>
    <row r="398">
      <c r="A398" s="7" t="inlineStr">
        <is>
          <t>Event Branding &amp; Design</t>
        </is>
      </c>
      <c r="B398" s="8" t="inlineStr">
        <is>
          <t>Package</t>
        </is>
      </c>
      <c r="C398" s="8" t="n">
        <v>1</v>
      </c>
      <c r="D398" s="25" t="n">
        <v>15000</v>
      </c>
      <c r="E398" s="26">
        <f>C398*D398</f>
        <v/>
      </c>
      <c r="F398" s="27" t="inlineStr">
        <is>
          <t>Booth designs, signage, materials, badges, digital content</t>
        </is>
      </c>
    </row>
    <row r="399">
      <c r="A399" s="11" t="inlineStr">
        <is>
          <t>Subtotal (Before Commission)</t>
        </is>
      </c>
      <c r="B399" s="15" t="n"/>
      <c r="C399" s="15" t="n"/>
      <c r="D399" s="15" t="n"/>
      <c r="E399" s="13">
        <f>SUM(E391:E398)</f>
        <v/>
      </c>
      <c r="F399" s="15" t="n"/>
    </row>
    <row r="400">
      <c r="A400" s="11" t="inlineStr">
        <is>
          <t>Agency Commission (15%)</t>
        </is>
      </c>
      <c r="B400" s="12" t="inlineStr">
        <is>
          <t>15%</t>
        </is>
      </c>
      <c r="C400" s="15" t="n"/>
      <c r="D400" s="15" t="n"/>
      <c r="E400" s="13">
        <f>E399*0.15</f>
        <v/>
      </c>
      <c r="F400" s="28" t="inlineStr">
        <is>
          <t>Agency management, planning &amp; execution fee</t>
        </is>
      </c>
    </row>
    <row r="401">
      <c r="A401" s="29" t="inlineStr">
        <is>
          <t>▶ EVENT 28: Cybersecurity Exhibition – TOTAL</t>
        </is>
      </c>
      <c r="B401" s="29" t="n"/>
      <c r="C401" s="29" t="n"/>
      <c r="D401" s="29" t="n"/>
      <c r="E401" s="30">
        <f>E399+E400</f>
        <v/>
      </c>
      <c r="F401" s="29" t="n"/>
    </row>
    <row r="403">
      <c r="A403" s="21" t="inlineStr">
        <is>
          <t>EVENT 29: World Mental Health Day | Date: October 10 | Attendance: 200 | SERA HQ</t>
        </is>
      </c>
    </row>
    <row r="404">
      <c r="A404" s="3" t="inlineStr">
        <is>
          <t>Cost Item</t>
        </is>
      </c>
      <c r="B404" s="3" t="inlineStr">
        <is>
          <t>Unit</t>
        </is>
      </c>
      <c r="C404" s="3" t="inlineStr">
        <is>
          <t>Qty</t>
        </is>
      </c>
      <c r="D404" s="3" t="inlineStr">
        <is>
          <t>Unit Price (SAR)</t>
        </is>
      </c>
      <c r="E404" s="3" t="inlineStr">
        <is>
          <t>Total (SAR)</t>
        </is>
      </c>
      <c r="F404" s="3" t="inlineStr">
        <is>
          <t>Notes</t>
        </is>
      </c>
    </row>
    <row r="405">
      <c r="A405" s="4" t="inlineStr">
        <is>
          <t>Venue</t>
        </is>
      </c>
      <c r="B405" s="5" t="inlineStr">
        <is>
          <t>SERA HQ</t>
        </is>
      </c>
      <c r="C405" s="5" t="n">
        <v>1</v>
      </c>
      <c r="D405" s="22" t="n">
        <v>0</v>
      </c>
      <c r="E405" s="23">
        <f>C405*D405</f>
        <v/>
      </c>
      <c r="F405" s="24" t="inlineStr">
        <is>
          <t>Internal</t>
        </is>
      </c>
    </row>
    <row r="406">
      <c r="A406" s="7" t="inlineStr">
        <is>
          <t>Wellness Expert / Psychologist</t>
        </is>
      </c>
      <c r="B406" s="8" t="inlineStr">
        <is>
          <t>Fee</t>
        </is>
      </c>
      <c r="C406" s="8" t="n">
        <v>1</v>
      </c>
      <c r="D406" s="25" t="n">
        <v>18000</v>
      </c>
      <c r="E406" s="26">
        <f>C406*D406</f>
        <v/>
      </c>
      <c r="F406" s="27" t="inlineStr">
        <is>
          <t>Mental health keynote speaker</t>
        </is>
      </c>
    </row>
    <row r="407">
      <c r="A407" s="4" t="inlineStr">
        <is>
          <t>Stress Management Workshop</t>
        </is>
      </c>
      <c r="B407" s="5" t="inlineStr">
        <is>
          <t>Package</t>
        </is>
      </c>
      <c r="C407" s="5" t="n">
        <v>1</v>
      </c>
      <c r="D407" s="22" t="n">
        <v>15000</v>
      </c>
      <c r="E407" s="23">
        <f>C407*D407</f>
        <v/>
      </c>
      <c r="F407" s="24" t="inlineStr">
        <is>
          <t>Interactive workshop + materials + exercises</t>
        </is>
      </c>
    </row>
    <row r="408">
      <c r="A408" s="7" t="inlineStr">
        <is>
          <t>Relaxation Zone Setup</t>
        </is>
      </c>
      <c r="B408" s="8" t="inlineStr">
        <is>
          <t>Package</t>
        </is>
      </c>
      <c r="C408" s="8" t="n">
        <v>1</v>
      </c>
      <c r="D408" s="25" t="n">
        <v>12000</v>
      </c>
      <c r="E408" s="26">
        <f>C408*D408</f>
        <v/>
      </c>
      <c r="F408" s="27" t="inlineStr">
        <is>
          <t>Calm space, massage chairs, aromatherapy, sound therapy</t>
        </is>
      </c>
    </row>
    <row r="409">
      <c r="A409" s="4" t="inlineStr">
        <is>
          <t>Healthy Refreshments</t>
        </is>
      </c>
      <c r="B409" s="5" t="inlineStr">
        <is>
          <t>Per person</t>
        </is>
      </c>
      <c r="C409" s="5" t="n">
        <v>200</v>
      </c>
      <c r="D409" s="22" t="n">
        <v>50</v>
      </c>
      <c r="E409" s="23">
        <f>C409*D409</f>
        <v/>
      </c>
      <c r="F409" s="24" t="inlineStr">
        <is>
          <t>Herbal teas, fruits, healthy snacks, smoothies</t>
        </is>
      </c>
    </row>
    <row r="410">
      <c r="A410" s="7" t="inlineStr">
        <is>
          <t>Wellness Giveaways</t>
        </is>
      </c>
      <c r="B410" s="8" t="inlineStr">
        <is>
          <t>Per person</t>
        </is>
      </c>
      <c r="C410" s="8" t="n">
        <v>200</v>
      </c>
      <c r="D410" s="25" t="n">
        <v>45</v>
      </c>
      <c r="E410" s="26">
        <f>C410*D410</f>
        <v/>
      </c>
      <c r="F410" s="27" t="inlineStr">
        <is>
          <t>Journals, essential oils, wellness kits, meditation app</t>
        </is>
      </c>
    </row>
    <row r="411">
      <c r="A411" s="4" t="inlineStr">
        <is>
          <t>Photography</t>
        </is>
      </c>
      <c r="B411" s="5" t="inlineStr">
        <is>
          <t>Half day</t>
        </is>
      </c>
      <c r="C411" s="5" t="n">
        <v>1</v>
      </c>
      <c r="D411" s="22" t="n">
        <v>3500</v>
      </c>
      <c r="E411" s="23">
        <f>C411*D411</f>
        <v/>
      </c>
      <c r="F411" s="24" t="inlineStr">
        <is>
          <t>Event coverage</t>
        </is>
      </c>
    </row>
    <row r="412">
      <c r="A412" s="11" t="inlineStr">
        <is>
          <t>Subtotal (Before Commission)</t>
        </is>
      </c>
      <c r="B412" s="15" t="n"/>
      <c r="C412" s="15" t="n"/>
      <c r="D412" s="15" t="n"/>
      <c r="E412" s="13">
        <f>SUM(E405:E411)</f>
        <v/>
      </c>
      <c r="F412" s="15" t="n"/>
    </row>
    <row r="413">
      <c r="A413" s="11" t="inlineStr">
        <is>
          <t>Agency Commission (15%)</t>
        </is>
      </c>
      <c r="B413" s="12" t="inlineStr">
        <is>
          <t>15%</t>
        </is>
      </c>
      <c r="C413" s="15" t="n"/>
      <c r="D413" s="15" t="n"/>
      <c r="E413" s="13">
        <f>E412*0.15</f>
        <v/>
      </c>
      <c r="F413" s="28" t="inlineStr">
        <is>
          <t>Agency management, planning &amp; execution fee</t>
        </is>
      </c>
    </row>
    <row r="414">
      <c r="A414" s="29" t="inlineStr">
        <is>
          <t>▶ EVENT 29: World Mental Health Day – TOTAL</t>
        </is>
      </c>
      <c r="B414" s="29" t="n"/>
      <c r="C414" s="29" t="n"/>
      <c r="D414" s="29" t="n"/>
      <c r="E414" s="30">
        <f>E412+E413</f>
        <v/>
      </c>
      <c r="F414" s="29" t="n"/>
    </row>
    <row r="416">
      <c r="A416" s="21" t="inlineStr">
        <is>
          <t>EVENT 30: World Savings Day (اليوم العالمي للادخار) | Date: October 31 | Attendance: 200 | SERA HQ</t>
        </is>
      </c>
    </row>
    <row r="417">
      <c r="A417" s="3" t="inlineStr">
        <is>
          <t>Cost Item</t>
        </is>
      </c>
      <c r="B417" s="3" t="inlineStr">
        <is>
          <t>Unit</t>
        </is>
      </c>
      <c r="C417" s="3" t="inlineStr">
        <is>
          <t>Qty</t>
        </is>
      </c>
      <c r="D417" s="3" t="inlineStr">
        <is>
          <t>Unit Price (SAR)</t>
        </is>
      </c>
      <c r="E417" s="3" t="inlineStr">
        <is>
          <t>Total (SAR)</t>
        </is>
      </c>
      <c r="F417" s="3" t="inlineStr">
        <is>
          <t>Notes</t>
        </is>
      </c>
    </row>
    <row r="418">
      <c r="A418" s="4" t="inlineStr">
        <is>
          <t>Venue</t>
        </is>
      </c>
      <c r="B418" s="5" t="inlineStr">
        <is>
          <t>SERA HQ</t>
        </is>
      </c>
      <c r="C418" s="5" t="n">
        <v>1</v>
      </c>
      <c r="D418" s="22" t="n">
        <v>0</v>
      </c>
      <c r="E418" s="23">
        <f>C418*D418</f>
        <v/>
      </c>
      <c r="F418" s="24" t="inlineStr">
        <is>
          <t>Internal – no rental cost</t>
        </is>
      </c>
    </row>
    <row r="419">
      <c r="A419" s="7" t="inlineStr">
        <is>
          <t>Financial Expert Speaker</t>
        </is>
      </c>
      <c r="B419" s="8" t="inlineStr">
        <is>
          <t>Fee</t>
        </is>
      </c>
      <c r="C419" s="8" t="n">
        <v>1</v>
      </c>
      <c r="D419" s="25" t="n">
        <v>12000</v>
      </c>
      <c r="E419" s="26">
        <f>C419*D419</f>
        <v/>
      </c>
      <c r="F419" s="27" t="inlineStr">
        <is>
          <t>Financial planning / savings specialist</t>
        </is>
      </c>
    </row>
    <row r="420">
      <c r="A420" s="4" t="inlineStr">
        <is>
          <t>Awareness Materials &amp; Displays</t>
        </is>
      </c>
      <c r="B420" s="5" t="inlineStr">
        <is>
          <t>Package</t>
        </is>
      </c>
      <c r="C420" s="5" t="n">
        <v>1</v>
      </c>
      <c r="D420" s="22" t="n">
        <v>8000</v>
      </c>
      <c r="E420" s="23">
        <f>C420*D420</f>
        <v/>
      </c>
      <c r="F420" s="24" t="inlineStr">
        <is>
          <t>Savings tips displays, financial literacy info panels</t>
        </is>
      </c>
    </row>
    <row r="421">
      <c r="A421" s="7" t="inlineStr">
        <is>
          <t>Financial Literacy Booklets</t>
        </is>
      </c>
      <c r="B421" s="8" t="inlineStr">
        <is>
          <t>Per person</t>
        </is>
      </c>
      <c r="C421" s="8" t="n">
        <v>200</v>
      </c>
      <c r="D421" s="25" t="n">
        <v>25</v>
      </c>
      <c r="E421" s="26">
        <f>C421*D421</f>
        <v/>
      </c>
      <c r="F421" s="27" t="inlineStr">
        <is>
          <t>Branded savings guides, budget planners</t>
        </is>
      </c>
    </row>
    <row r="422">
      <c r="A422" s="4" t="inlineStr">
        <is>
          <t>Light Refreshments</t>
        </is>
      </c>
      <c r="B422" s="5" t="inlineStr">
        <is>
          <t>Per person</t>
        </is>
      </c>
      <c r="C422" s="5" t="n">
        <v>200</v>
      </c>
      <c r="D422" s="22" t="n">
        <v>40</v>
      </c>
      <c r="E422" s="23">
        <f>C422*D422</f>
        <v/>
      </c>
      <c r="F422" s="24" t="inlineStr">
        <is>
          <t>Coffee, snacks</t>
        </is>
      </c>
    </row>
    <row r="423">
      <c r="A423" s="7" t="inlineStr">
        <is>
          <t>Savings Pledge Wall</t>
        </is>
      </c>
      <c r="B423" s="8" t="inlineStr">
        <is>
          <t>Package</t>
        </is>
      </c>
      <c r="C423" s="8" t="n">
        <v>1</v>
      </c>
      <c r="D423" s="25" t="n">
        <v>5000</v>
      </c>
      <c r="E423" s="26">
        <f>C423*D423</f>
        <v/>
      </c>
      <c r="F423" s="27" t="inlineStr">
        <is>
          <t>Interactive pledge wall + goal-setting station</t>
        </is>
      </c>
    </row>
    <row r="424">
      <c r="A424" s="4" t="inlineStr">
        <is>
          <t>Photography</t>
        </is>
      </c>
      <c r="B424" s="5" t="inlineStr">
        <is>
          <t>2 hours</t>
        </is>
      </c>
      <c r="C424" s="5" t="n">
        <v>1</v>
      </c>
      <c r="D424" s="22" t="n">
        <v>3000</v>
      </c>
      <c r="E424" s="23">
        <f>C424*D424</f>
        <v/>
      </c>
      <c r="F424" s="24" t="inlineStr">
        <is>
          <t>Event documentation</t>
        </is>
      </c>
    </row>
    <row r="425">
      <c r="A425" s="7" t="inlineStr">
        <is>
          <t>Event Branding &amp; Design</t>
        </is>
      </c>
      <c r="B425" s="8" t="inlineStr">
        <is>
          <t>Package</t>
        </is>
      </c>
      <c r="C425" s="8" t="n">
        <v>1</v>
      </c>
      <c r="D425" s="25" t="n">
        <v>14000</v>
      </c>
      <c r="E425" s="26">
        <f>C425*D425</f>
        <v/>
      </c>
      <c r="F425" s="27" t="inlineStr">
        <is>
          <t>Financial-themed signage, materials, social media kit</t>
        </is>
      </c>
    </row>
    <row r="426">
      <c r="A426" s="11" t="inlineStr">
        <is>
          <t>Subtotal (Before Commission)</t>
        </is>
      </c>
      <c r="B426" s="15" t="n"/>
      <c r="C426" s="15" t="n"/>
      <c r="D426" s="15" t="n"/>
      <c r="E426" s="13">
        <f>SUM(E418:E425)</f>
        <v/>
      </c>
      <c r="F426" s="15" t="n"/>
    </row>
    <row r="427">
      <c r="A427" s="11" t="inlineStr">
        <is>
          <t>Agency Commission (15%)</t>
        </is>
      </c>
      <c r="B427" s="12" t="inlineStr">
        <is>
          <t>15%</t>
        </is>
      </c>
      <c r="C427" s="15" t="n"/>
      <c r="D427" s="15" t="n"/>
      <c r="E427" s="13">
        <f>E426*0.15</f>
        <v/>
      </c>
      <c r="F427" s="28" t="inlineStr">
        <is>
          <t>Agency management, planning &amp; execution fee</t>
        </is>
      </c>
    </row>
    <row r="428">
      <c r="A428" s="29" t="inlineStr">
        <is>
          <t>▶ EVENT 30: World Savings Day (اليوم العالمي للادخار) – TOTAL</t>
        </is>
      </c>
      <c r="B428" s="29" t="n"/>
      <c r="C428" s="29" t="n"/>
      <c r="D428" s="29" t="n"/>
      <c r="E428" s="30">
        <f>E426+E427</f>
        <v/>
      </c>
      <c r="F428" s="29" t="n"/>
    </row>
    <row r="430">
      <c r="A430" s="21" t="inlineStr">
        <is>
          <t>EVENT 31: Quality Day | Date: November 10 | Attendance: 180 | Business Hotel Conference</t>
        </is>
      </c>
    </row>
    <row r="431">
      <c r="A431" s="3" t="inlineStr">
        <is>
          <t>Cost Item</t>
        </is>
      </c>
      <c r="B431" s="3" t="inlineStr">
        <is>
          <t>Unit</t>
        </is>
      </c>
      <c r="C431" s="3" t="inlineStr">
        <is>
          <t>Qty</t>
        </is>
      </c>
      <c r="D431" s="3" t="inlineStr">
        <is>
          <t>Unit Price (SAR)</t>
        </is>
      </c>
      <c r="E431" s="3" t="inlineStr">
        <is>
          <t>Total (SAR)</t>
        </is>
      </c>
      <c r="F431" s="3" t="inlineStr">
        <is>
          <t>Notes</t>
        </is>
      </c>
    </row>
    <row r="432">
      <c r="A432" s="4" t="inlineStr">
        <is>
          <t>Venue (Conference room)</t>
        </is>
      </c>
      <c r="B432" s="5" t="inlineStr">
        <is>
          <t>Half day</t>
        </is>
      </c>
      <c r="C432" s="5" t="n">
        <v>1</v>
      </c>
      <c r="D432" s="22" t="n">
        <v>25000</v>
      </c>
      <c r="E432" s="23">
        <f>C432*D432</f>
        <v/>
      </c>
      <c r="F432" s="24" t="inlineStr">
        <is>
          <t>Professional conference setting</t>
        </is>
      </c>
    </row>
    <row r="433">
      <c r="A433" s="7" t="inlineStr">
        <is>
          <t>Catering (Lunch + 1 break)</t>
        </is>
      </c>
      <c r="B433" s="8" t="inlineStr">
        <is>
          <t>Per person</t>
        </is>
      </c>
      <c r="C433" s="8" t="n">
        <v>180</v>
      </c>
      <c r="D433" s="25" t="n">
        <v>145</v>
      </c>
      <c r="E433" s="26">
        <f>C433*D433</f>
        <v/>
      </c>
      <c r="F433" s="27" t="inlineStr">
        <is>
          <t>Half-day premium package</t>
        </is>
      </c>
    </row>
    <row r="434">
      <c r="A434" s="4" t="inlineStr">
        <is>
          <t>Quality Awards &amp; Recognition</t>
        </is>
      </c>
      <c r="B434" s="5" t="inlineStr">
        <is>
          <t>Set of 7</t>
        </is>
      </c>
      <c r="C434" s="5" t="n">
        <v>1</v>
      </c>
      <c r="D434" s="22" t="n">
        <v>10000</v>
      </c>
      <c r="E434" s="23">
        <f>C434*D434</f>
        <v/>
      </c>
      <c r="F434" s="24" t="inlineStr">
        <is>
          <t>7 quality awards + certificates + frames</t>
        </is>
      </c>
    </row>
    <row r="435">
      <c r="A435" s="7" t="inlineStr">
        <is>
          <t>Stage &amp; Presentation Setup</t>
        </is>
      </c>
      <c r="B435" s="8" t="inlineStr">
        <is>
          <t>Package</t>
        </is>
      </c>
      <c r="C435" s="8" t="n">
        <v>1</v>
      </c>
      <c r="D435" s="25" t="n">
        <v>10000</v>
      </c>
      <c r="E435" s="26">
        <f>C435*D435</f>
        <v/>
      </c>
      <c r="F435" s="27" t="inlineStr">
        <is>
          <t>Stage, screen, sound, podium, backdrop</t>
        </is>
      </c>
    </row>
    <row r="436">
      <c r="A436" s="4" t="inlineStr">
        <is>
          <t>Quality Expert Keynote Speaker</t>
        </is>
      </c>
      <c r="B436" s="5" t="inlineStr">
        <is>
          <t>Fee</t>
        </is>
      </c>
      <c r="C436" s="5" t="n">
        <v>1</v>
      </c>
      <c r="D436" s="22" t="n">
        <v>12000</v>
      </c>
      <c r="E436" s="23">
        <f>C436*D436</f>
        <v/>
      </c>
      <c r="F436" s="24" t="inlineStr">
        <is>
          <t>Quality/excellence expert</t>
        </is>
      </c>
    </row>
    <row r="437">
      <c r="A437" s="7" t="inlineStr">
        <is>
          <t>Photography</t>
        </is>
      </c>
      <c r="B437" s="8" t="inlineStr">
        <is>
          <t>Half day</t>
        </is>
      </c>
      <c r="C437" s="8" t="n">
        <v>1</v>
      </c>
      <c r="D437" s="25" t="n">
        <v>3500</v>
      </c>
      <c r="E437" s="26">
        <f>C437*D437</f>
        <v/>
      </c>
      <c r="F437" s="27" t="inlineStr">
        <is>
          <t>Event coverage</t>
        </is>
      </c>
    </row>
    <row r="438">
      <c r="A438" s="4" t="inlineStr">
        <is>
          <t>Event Branding &amp; Design</t>
        </is>
      </c>
      <c r="B438" s="5" t="inlineStr">
        <is>
          <t>Package</t>
        </is>
      </c>
      <c r="C438" s="5" t="n">
        <v>1</v>
      </c>
      <c r="D438" s="22" t="n">
        <v>14000</v>
      </c>
      <c r="E438" s="23">
        <f>C438*D438</f>
        <v/>
      </c>
      <c r="F438" s="24" t="inlineStr">
        <is>
          <t>Signage, certificates, backdrop, materials, social media, digital</t>
        </is>
      </c>
    </row>
    <row r="439">
      <c r="A439" s="11" t="inlineStr">
        <is>
          <t>Subtotal (Before Commission)</t>
        </is>
      </c>
      <c r="B439" s="15" t="n"/>
      <c r="C439" s="15" t="n"/>
      <c r="D439" s="15" t="n"/>
      <c r="E439" s="13">
        <f>SUM(E432:E438)</f>
        <v/>
      </c>
      <c r="F439" s="15" t="n"/>
    </row>
    <row r="440">
      <c r="A440" s="11" t="inlineStr">
        <is>
          <t>Agency Commission (15%)</t>
        </is>
      </c>
      <c r="B440" s="12" t="inlineStr">
        <is>
          <t>15%</t>
        </is>
      </c>
      <c r="C440" s="15" t="n"/>
      <c r="D440" s="15" t="n"/>
      <c r="E440" s="13">
        <f>E439*0.15</f>
        <v/>
      </c>
      <c r="F440" s="28" t="inlineStr">
        <is>
          <t>Agency management, planning &amp; execution fee</t>
        </is>
      </c>
    </row>
    <row r="441">
      <c r="A441" s="29" t="inlineStr">
        <is>
          <t>▶ EVENT 31: Quality Day – TOTAL</t>
        </is>
      </c>
      <c r="B441" s="29" t="n"/>
      <c r="C441" s="29" t="n"/>
      <c r="D441" s="29" t="n"/>
      <c r="E441" s="30">
        <f>E439+E440</f>
        <v/>
      </c>
      <c r="F441" s="29" t="n"/>
    </row>
    <row r="443">
      <c r="A443" s="21" t="inlineStr">
        <is>
          <t>EVENT 32: Flu Vaccination Campaign (حملة التطعيم ضد الإنفلونزا) | Date: November | Attendance: 250 | SERA HQ</t>
        </is>
      </c>
    </row>
    <row r="444">
      <c r="A444" s="3" t="inlineStr">
        <is>
          <t>Cost Item</t>
        </is>
      </c>
      <c r="B444" s="3" t="inlineStr">
        <is>
          <t>Unit</t>
        </is>
      </c>
      <c r="C444" s="3" t="inlineStr">
        <is>
          <t>Qty</t>
        </is>
      </c>
      <c r="D444" s="3" t="inlineStr">
        <is>
          <t>Unit Price (SAR)</t>
        </is>
      </c>
      <c r="E444" s="3" t="inlineStr">
        <is>
          <t>Total (SAR)</t>
        </is>
      </c>
      <c r="F444" s="3" t="inlineStr">
        <is>
          <t>Notes</t>
        </is>
      </c>
    </row>
    <row r="445">
      <c r="A445" s="4" t="inlineStr">
        <is>
          <t>Venue</t>
        </is>
      </c>
      <c r="B445" s="5" t="inlineStr">
        <is>
          <t>SERA HQ</t>
        </is>
      </c>
      <c r="C445" s="5" t="n">
        <v>1</v>
      </c>
      <c r="D445" s="22" t="n">
        <v>0</v>
      </c>
      <c r="E445" s="23">
        <f>C445*D445</f>
        <v/>
      </c>
      <c r="F445" s="24" t="inlineStr">
        <is>
          <t>Internal – no rental cost</t>
        </is>
      </c>
    </row>
    <row r="446">
      <c r="A446" s="7" t="inlineStr">
        <is>
          <t>Pre-Campaign Awareness Materials</t>
        </is>
      </c>
      <c r="B446" s="8" t="inlineStr">
        <is>
          <t>Package</t>
        </is>
      </c>
      <c r="C446" s="8" t="n">
        <v>1</v>
      </c>
      <c r="D446" s="25" t="n">
        <v>8000</v>
      </c>
      <c r="E446" s="26">
        <f>C446*D446</f>
        <v/>
      </c>
      <c r="F446" s="27" t="inlineStr">
        <is>
          <t>Posters, emails, digital screens, internal comms</t>
        </is>
      </c>
    </row>
    <row r="447">
      <c r="A447" s="4" t="inlineStr">
        <is>
          <t>Medical Staff &amp; Coordination</t>
        </is>
      </c>
      <c r="B447" s="5" t="inlineStr">
        <is>
          <t>Package</t>
        </is>
      </c>
      <c r="C447" s="5" t="n">
        <v>1</v>
      </c>
      <c r="D447" s="22" t="n">
        <v>12000</v>
      </c>
      <c r="E447" s="23">
        <f>C447*D447</f>
        <v/>
      </c>
      <c r="F447" s="31" t="inlineStr">
        <is>
          <t>[NOTE] Nurses + logistics – coordinate with health provider</t>
        </is>
      </c>
    </row>
    <row r="448">
      <c r="A448" s="7" t="inlineStr">
        <is>
          <t>Vaccination Station Setup &amp; Supplies</t>
        </is>
      </c>
      <c r="B448" s="8" t="inlineStr">
        <is>
          <t>Package</t>
        </is>
      </c>
      <c r="C448" s="8" t="n">
        <v>1</v>
      </c>
      <c r="D448" s="25" t="n">
        <v>10000</v>
      </c>
      <c r="E448" s="26">
        <f>C448*D448</f>
        <v/>
      </c>
      <c r="F448" s="27" t="inlineStr">
        <is>
          <t>Medical setup, privacy screens, waiting area</t>
        </is>
      </c>
    </row>
    <row r="449">
      <c r="A449" s="4" t="inlineStr">
        <is>
          <t>Post-Vaccination Refreshments</t>
        </is>
      </c>
      <c r="B449" s="5" t="inlineStr">
        <is>
          <t>Per person</t>
        </is>
      </c>
      <c r="C449" s="5" t="n">
        <v>250</v>
      </c>
      <c r="D449" s="22" t="n">
        <v>30</v>
      </c>
      <c r="E449" s="23">
        <f>C449*D449</f>
        <v/>
      </c>
      <c r="F449" s="24" t="inlineStr">
        <is>
          <t>Juice, snacks, recovery food</t>
        </is>
      </c>
    </row>
    <row r="450">
      <c r="A450" s="7" t="inlineStr">
        <is>
          <t>Appreciation Items</t>
        </is>
      </c>
      <c r="B450" s="8" t="inlineStr">
        <is>
          <t>Per person</t>
        </is>
      </c>
      <c r="C450" s="8" t="n">
        <v>250</v>
      </c>
      <c r="D450" s="25" t="n">
        <v>25</v>
      </c>
      <c r="E450" s="26">
        <f>C450*D450</f>
        <v/>
      </c>
      <c r="F450" s="27" t="inlineStr">
        <is>
          <t>Thank-you gifts for participants</t>
        </is>
      </c>
    </row>
    <row r="451">
      <c r="A451" s="4" t="inlineStr">
        <is>
          <t>Photography</t>
        </is>
      </c>
      <c r="B451" s="5" t="inlineStr">
        <is>
          <t>Full day</t>
        </is>
      </c>
      <c r="C451" s="5" t="n">
        <v>1</v>
      </c>
      <c r="D451" s="22" t="n">
        <v>3000</v>
      </c>
      <c r="E451" s="23">
        <f>C451*D451</f>
        <v/>
      </c>
      <c r="F451" s="24" t="inlineStr">
        <is>
          <t>Health campaign documentation</t>
        </is>
      </c>
    </row>
    <row r="452">
      <c r="A452" s="7" t="inlineStr">
        <is>
          <t>Event Branding &amp; Design</t>
        </is>
      </c>
      <c r="B452" s="8" t="inlineStr">
        <is>
          <t>Package</t>
        </is>
      </c>
      <c r="C452" s="8" t="n">
        <v>1</v>
      </c>
      <c r="D452" s="25" t="n">
        <v>12000</v>
      </c>
      <c r="E452" s="26">
        <f>C452*D452</f>
        <v/>
      </c>
      <c r="F452" s="27" t="inlineStr">
        <is>
          <t>Health-themed signage, awareness displays, social media kit</t>
        </is>
      </c>
    </row>
    <row r="453">
      <c r="A453" s="11" t="inlineStr">
        <is>
          <t>Subtotal (Before Commission)</t>
        </is>
      </c>
      <c r="B453" s="15" t="n"/>
      <c r="C453" s="15" t="n"/>
      <c r="D453" s="15" t="n"/>
      <c r="E453" s="13">
        <f>SUM(E445:E452)</f>
        <v/>
      </c>
      <c r="F453" s="15" t="n"/>
    </row>
    <row r="454">
      <c r="A454" s="11" t="inlineStr">
        <is>
          <t>Agency Commission (15%)</t>
        </is>
      </c>
      <c r="B454" s="12" t="inlineStr">
        <is>
          <t>15%</t>
        </is>
      </c>
      <c r="C454" s="15" t="n"/>
      <c r="D454" s="15" t="n"/>
      <c r="E454" s="13">
        <f>E453*0.15</f>
        <v/>
      </c>
      <c r="F454" s="28" t="inlineStr">
        <is>
          <t>Agency management, planning &amp; execution fee</t>
        </is>
      </c>
    </row>
    <row r="455">
      <c r="A455" s="29" t="inlineStr">
        <is>
          <t>▶ EVENT 32: Flu Vaccination Campaign (حملة التطعيم ضد الإنفلونزا) – TOTAL</t>
        </is>
      </c>
      <c r="B455" s="29" t="n"/>
      <c r="C455" s="29" t="n"/>
      <c r="D455" s="29" t="n"/>
      <c r="E455" s="30">
        <f>E453+E454</f>
        <v/>
      </c>
      <c r="F455" s="29" t="n"/>
    </row>
    <row r="457">
      <c r="A457" s="21" t="inlineStr">
        <is>
          <t>EVENT 33: World Diabetes Day (اليوم العالمي للسكري) | Date: November 14 | Attendance: 200 | SERA HQ</t>
        </is>
      </c>
    </row>
    <row r="458">
      <c r="A458" s="3" t="inlineStr">
        <is>
          <t>Cost Item</t>
        </is>
      </c>
      <c r="B458" s="3" t="inlineStr">
        <is>
          <t>Unit</t>
        </is>
      </c>
      <c r="C458" s="3" t="inlineStr">
        <is>
          <t>Qty</t>
        </is>
      </c>
      <c r="D458" s="3" t="inlineStr">
        <is>
          <t>Unit Price (SAR)</t>
        </is>
      </c>
      <c r="E458" s="3" t="inlineStr">
        <is>
          <t>Total (SAR)</t>
        </is>
      </c>
      <c r="F458" s="3" t="inlineStr">
        <is>
          <t>Notes</t>
        </is>
      </c>
    </row>
    <row r="459">
      <c r="A459" s="4" t="inlineStr">
        <is>
          <t>Venue</t>
        </is>
      </c>
      <c r="B459" s="5" t="inlineStr">
        <is>
          <t>SERA HQ</t>
        </is>
      </c>
      <c r="C459" s="5" t="n">
        <v>1</v>
      </c>
      <c r="D459" s="22" t="n">
        <v>0</v>
      </c>
      <c r="E459" s="23">
        <f>C459*D459</f>
        <v/>
      </c>
      <c r="F459" s="24" t="inlineStr">
        <is>
          <t>Internal – no rental cost</t>
        </is>
      </c>
    </row>
    <row r="460">
      <c r="A460" s="7" t="inlineStr">
        <is>
          <t>Health Expert Speaker</t>
        </is>
      </c>
      <c r="B460" s="8" t="inlineStr">
        <is>
          <t>Fee</t>
        </is>
      </c>
      <c r="C460" s="8" t="n">
        <v>1</v>
      </c>
      <c r="D460" s="25" t="n">
        <v>12000</v>
      </c>
      <c r="E460" s="26">
        <f>C460*D460</f>
        <v/>
      </c>
      <c r="F460" s="27" t="inlineStr">
        <is>
          <t>Endocrinologist or diabetes specialist</t>
        </is>
      </c>
    </row>
    <row r="461">
      <c r="A461" s="4" t="inlineStr">
        <is>
          <t>Diabetes Screening Station</t>
        </is>
      </c>
      <c r="B461" s="5" t="inlineStr">
        <is>
          <t>Package</t>
        </is>
      </c>
      <c r="C461" s="5" t="n">
        <v>1</v>
      </c>
      <c r="D461" s="22" t="n">
        <v>10000</v>
      </c>
      <c r="E461" s="23">
        <f>C461*D461</f>
        <v/>
      </c>
      <c r="F461" s="24" t="inlineStr">
        <is>
          <t>Blood sugar testing, health risk assessment</t>
        </is>
      </c>
    </row>
    <row r="462">
      <c r="A462" s="7" t="inlineStr">
        <is>
          <t>Awareness Materials &amp; Displays</t>
        </is>
      </c>
      <c r="B462" s="8" t="inlineStr">
        <is>
          <t>Per person</t>
        </is>
      </c>
      <c r="C462" s="8" t="n">
        <v>200</v>
      </c>
      <c r="D462" s="25" t="n">
        <v>25</v>
      </c>
      <c r="E462" s="26">
        <f>C462*D462</f>
        <v/>
      </c>
      <c r="F462" s="27" t="inlineStr">
        <is>
          <t>Diabetes info booklets, diet guides, health cards</t>
        </is>
      </c>
    </row>
    <row r="463">
      <c r="A463" s="4" t="inlineStr">
        <is>
          <t>Healthy Refreshments</t>
        </is>
      </c>
      <c r="B463" s="5" t="inlineStr">
        <is>
          <t>Per person</t>
        </is>
      </c>
      <c r="C463" s="5" t="n">
        <v>200</v>
      </c>
      <c r="D463" s="22" t="n">
        <v>45</v>
      </c>
      <c r="E463" s="23">
        <f>C463*D463</f>
        <v/>
      </c>
      <c r="F463" s="24" t="inlineStr">
        <is>
          <t>Sugar-free options, fruits, healthy snacks</t>
        </is>
      </c>
    </row>
    <row r="464">
      <c r="A464" s="7" t="inlineStr">
        <is>
          <t>Blue Circle Awareness Items</t>
        </is>
      </c>
      <c r="B464" s="8" t="inlineStr">
        <is>
          <t>Per person</t>
        </is>
      </c>
      <c r="C464" s="8" t="n">
        <v>200</v>
      </c>
      <c r="D464" s="25" t="n">
        <v>30</v>
      </c>
      <c r="E464" s="26">
        <f>C464*D464</f>
        <v/>
      </c>
      <c r="F464" s="27" t="inlineStr">
        <is>
          <t>Blue circle pins, branded awareness items</t>
        </is>
      </c>
    </row>
    <row r="465">
      <c r="A465" s="4" t="inlineStr">
        <is>
          <t>Photography</t>
        </is>
      </c>
      <c r="B465" s="5" t="inlineStr">
        <is>
          <t>2 hours</t>
        </is>
      </c>
      <c r="C465" s="5" t="n">
        <v>1</v>
      </c>
      <c r="D465" s="22" t="n">
        <v>3000</v>
      </c>
      <c r="E465" s="23">
        <f>C465*D465</f>
        <v/>
      </c>
      <c r="F465" s="24" t="inlineStr">
        <is>
          <t>Event documentation</t>
        </is>
      </c>
    </row>
    <row r="466">
      <c r="A466" s="7" t="inlineStr">
        <is>
          <t>Event Branding &amp; Design</t>
        </is>
      </c>
      <c r="B466" s="8" t="inlineStr">
        <is>
          <t>Package</t>
        </is>
      </c>
      <c r="C466" s="8" t="n">
        <v>1</v>
      </c>
      <c r="D466" s="25" t="n">
        <v>14000</v>
      </c>
      <c r="E466" s="26">
        <f>C466*D466</f>
        <v/>
      </c>
      <c r="F466" s="27" t="inlineStr">
        <is>
          <t>Blue-themed signage, health displays, social media kit</t>
        </is>
      </c>
    </row>
    <row r="467">
      <c r="A467" s="11" t="inlineStr">
        <is>
          <t>Subtotal (Before Commission)</t>
        </is>
      </c>
      <c r="B467" s="15" t="n"/>
      <c r="C467" s="15" t="n"/>
      <c r="D467" s="15" t="n"/>
      <c r="E467" s="13">
        <f>SUM(E459:E466)</f>
        <v/>
      </c>
      <c r="F467" s="15" t="n"/>
    </row>
    <row r="468">
      <c r="A468" s="11" t="inlineStr">
        <is>
          <t>Agency Commission (15%)</t>
        </is>
      </c>
      <c r="B468" s="12" t="inlineStr">
        <is>
          <t>15%</t>
        </is>
      </c>
      <c r="C468" s="15" t="n"/>
      <c r="D468" s="15" t="n"/>
      <c r="E468" s="13">
        <f>E467*0.15</f>
        <v/>
      </c>
      <c r="F468" s="28" t="inlineStr">
        <is>
          <t>Agency management, planning &amp; execution fee</t>
        </is>
      </c>
    </row>
    <row r="469">
      <c r="A469" s="29" t="inlineStr">
        <is>
          <t>▶ EVENT 33: World Diabetes Day (اليوم العالمي للسكري) – TOTAL</t>
        </is>
      </c>
      <c r="B469" s="29" t="n"/>
      <c r="C469" s="29" t="n"/>
      <c r="D469" s="29" t="n"/>
      <c r="E469" s="30">
        <f>E467+E468</f>
        <v/>
      </c>
      <c r="F469" s="29" t="n"/>
    </row>
    <row r="471">
      <c r="A471" s="21" t="inlineStr">
        <is>
          <t>EVENT 34: International Men's Day | Date: November 19 | Attendance: 200 | Event Space</t>
        </is>
      </c>
    </row>
    <row r="472">
      <c r="A472" s="3" t="inlineStr">
        <is>
          <t>Cost Item</t>
        </is>
      </c>
      <c r="B472" s="3" t="inlineStr">
        <is>
          <t>Unit</t>
        </is>
      </c>
      <c r="C472" s="3" t="inlineStr">
        <is>
          <t>Qty</t>
        </is>
      </c>
      <c r="D472" s="3" t="inlineStr">
        <is>
          <t>Unit Price (SAR)</t>
        </is>
      </c>
      <c r="E472" s="3" t="inlineStr">
        <is>
          <t>Total (SAR)</t>
        </is>
      </c>
      <c r="F472" s="3" t="inlineStr">
        <is>
          <t>Notes</t>
        </is>
      </c>
    </row>
    <row r="473">
      <c r="A473" s="4" t="inlineStr">
        <is>
          <t>Venue + Lunch/Dinner</t>
        </is>
      </c>
      <c r="B473" s="5" t="inlineStr">
        <is>
          <t>Per person</t>
        </is>
      </c>
      <c r="C473" s="5" t="n">
        <v>200</v>
      </c>
      <c r="D473" s="22" t="n">
        <v>210</v>
      </c>
      <c r="E473" s="23">
        <f>C473*D473</f>
        <v/>
      </c>
      <c r="F473" s="24" t="inlineStr">
        <is>
          <t>Private premium event space</t>
        </is>
      </c>
    </row>
    <row r="474">
      <c r="A474" s="7" t="inlineStr">
        <is>
          <t>Team Activities &amp; Competitions</t>
        </is>
      </c>
      <c r="B474" s="8" t="inlineStr">
        <is>
          <t>Package</t>
        </is>
      </c>
      <c r="C474" s="8" t="n">
        <v>1</v>
      </c>
      <c r="D474" s="25" t="n">
        <v>20000</v>
      </c>
      <c r="E474" s="26">
        <f>C474*D474</f>
        <v/>
      </c>
      <c r="F474" s="27" t="inlineStr">
        <is>
          <t>Team-building, sports competitions, prizes</t>
        </is>
      </c>
    </row>
    <row r="475">
      <c r="A475" s="4" t="inlineStr">
        <is>
          <t>Recognition Gifts</t>
        </is>
      </c>
      <c r="B475" s="5" t="inlineStr">
        <is>
          <t>Per person</t>
        </is>
      </c>
      <c r="C475" s="5" t="n">
        <v>200</v>
      </c>
      <c r="D475" s="22" t="n">
        <v>65</v>
      </c>
      <c r="E475" s="23">
        <f>C475*D475</f>
        <v/>
      </c>
      <c r="F475" s="24" t="inlineStr">
        <is>
          <t>Men's day premium gift</t>
        </is>
      </c>
    </row>
    <row r="476">
      <c r="A476" s="7" t="inlineStr">
        <is>
          <t>Photography</t>
        </is>
      </c>
      <c r="B476" s="8" t="inlineStr">
        <is>
          <t>3 hours</t>
        </is>
      </c>
      <c r="C476" s="8" t="n">
        <v>1</v>
      </c>
      <c r="D476" s="25" t="n">
        <v>4500</v>
      </c>
      <c r="E476" s="26">
        <f>C476*D476</f>
        <v/>
      </c>
      <c r="F476" s="27" t="inlineStr">
        <is>
          <t>Event coverage</t>
        </is>
      </c>
    </row>
    <row r="477">
      <c r="A477" s="4" t="inlineStr">
        <is>
          <t>Event Branding &amp; Design</t>
        </is>
      </c>
      <c r="B477" s="5" t="inlineStr">
        <is>
          <t>Package</t>
        </is>
      </c>
      <c r="C477" s="5" t="n">
        <v>1</v>
      </c>
      <c r="D477" s="22" t="n">
        <v>14000</v>
      </c>
      <c r="E477" s="23">
        <f>C477*D477</f>
        <v/>
      </c>
      <c r="F477" s="24" t="inlineStr">
        <is>
          <t>Invitations, signage, décor, social media kit, digital assets</t>
        </is>
      </c>
    </row>
    <row r="478">
      <c r="A478" s="11" t="inlineStr">
        <is>
          <t>Subtotal (Before Commission)</t>
        </is>
      </c>
      <c r="B478" s="15" t="n"/>
      <c r="C478" s="15" t="n"/>
      <c r="D478" s="15" t="n"/>
      <c r="E478" s="13">
        <f>SUM(E473:E477)</f>
        <v/>
      </c>
      <c r="F478" s="15" t="n"/>
    </row>
    <row r="479">
      <c r="A479" s="11" t="inlineStr">
        <is>
          <t>Agency Commission (15%)</t>
        </is>
      </c>
      <c r="B479" s="12" t="inlineStr">
        <is>
          <t>15%</t>
        </is>
      </c>
      <c r="C479" s="15" t="n"/>
      <c r="D479" s="15" t="n"/>
      <c r="E479" s="13">
        <f>E478*0.15</f>
        <v/>
      </c>
      <c r="F479" s="28" t="inlineStr">
        <is>
          <t>Agency management, planning &amp; execution fee</t>
        </is>
      </c>
    </row>
    <row r="480">
      <c r="A480" s="29" t="inlineStr">
        <is>
          <t>▶ EVENT 34: International Men's Day – TOTAL</t>
        </is>
      </c>
      <c r="B480" s="29" t="n"/>
      <c r="C480" s="29" t="n"/>
      <c r="D480" s="29" t="n"/>
      <c r="E480" s="30">
        <f>E478+E479</f>
        <v/>
      </c>
      <c r="F480" s="29" t="n"/>
    </row>
    <row r="482">
      <c r="A482" s="21" t="inlineStr">
        <is>
          <t>EVENT 35: Universal Children's Day | Date: November 20 | Attendance: 200 | Family Entertainment Venue</t>
        </is>
      </c>
    </row>
    <row r="483">
      <c r="A483" s="3" t="inlineStr">
        <is>
          <t>Cost Item</t>
        </is>
      </c>
      <c r="B483" s="3" t="inlineStr">
        <is>
          <t>Unit</t>
        </is>
      </c>
      <c r="C483" s="3" t="inlineStr">
        <is>
          <t>Qty</t>
        </is>
      </c>
      <c r="D483" s="3" t="inlineStr">
        <is>
          <t>Unit Price (SAR)</t>
        </is>
      </c>
      <c r="E483" s="3" t="inlineStr">
        <is>
          <t>Total (SAR)</t>
        </is>
      </c>
      <c r="F483" s="3" t="inlineStr">
        <is>
          <t>Notes</t>
        </is>
      </c>
    </row>
    <row r="484">
      <c r="A484" s="4" t="inlineStr">
        <is>
          <t>Venue (Family-friendly)</t>
        </is>
      </c>
      <c r="B484" s="5" t="inlineStr">
        <is>
          <t>4 hours</t>
        </is>
      </c>
      <c r="C484" s="5" t="n">
        <v>1</v>
      </c>
      <c r="D484" s="22" t="n">
        <v>30000</v>
      </c>
      <c r="E484" s="23">
        <f>C484*D484</f>
        <v/>
      </c>
      <c r="F484" s="24" t="inlineStr">
        <is>
          <t>Premium entertainment venue</t>
        </is>
      </c>
    </row>
    <row r="485">
      <c r="A485" s="7" t="inlineStr">
        <is>
          <t>Catering (Kids + Adults)</t>
        </is>
      </c>
      <c r="B485" s="8" t="inlineStr">
        <is>
          <t>Per person</t>
        </is>
      </c>
      <c r="C485" s="8" t="n">
        <v>200</v>
      </c>
      <c r="D485" s="25" t="n">
        <v>120</v>
      </c>
      <c r="E485" s="26">
        <f>C485*D485</f>
        <v/>
      </c>
      <c r="F485" s="27" t="inlineStr">
        <is>
          <t>Kid-friendly + adult menu + dessert station</t>
        </is>
      </c>
    </row>
    <row r="486">
      <c r="A486" s="4" t="inlineStr">
        <is>
          <t>Children's Professional Entertainment</t>
        </is>
      </c>
      <c r="B486" s="5" t="inlineStr">
        <is>
          <t>Package</t>
        </is>
      </c>
      <c r="C486" s="5" t="n">
        <v>1</v>
      </c>
      <c r="D486" s="22" t="n">
        <v>25000</v>
      </c>
      <c r="E486" s="23">
        <f>C486*D486</f>
        <v/>
      </c>
      <c r="F486" s="24" t="inlineStr">
        <is>
          <t>Characters, clown, games, face paint, magic, VR</t>
        </is>
      </c>
    </row>
    <row r="487">
      <c r="A487" s="7" t="inlineStr">
        <is>
          <t>Gifts for Children</t>
        </is>
      </c>
      <c r="B487" s="8" t="inlineStr">
        <is>
          <t>Per child</t>
        </is>
      </c>
      <c r="C487" s="8" t="n">
        <v>100</v>
      </c>
      <c r="D487" s="25" t="n">
        <v>80</v>
      </c>
      <c r="E487" s="26">
        <f>C487*D487</f>
        <v/>
      </c>
      <c r="F487" s="27" t="inlineStr">
        <is>
          <t>Premium toys, activity kits, branded items</t>
        </is>
      </c>
    </row>
    <row r="488">
      <c r="A488" s="4" t="inlineStr">
        <is>
          <t>Photography &amp; Videography</t>
        </is>
      </c>
      <c r="B488" s="5" t="inlineStr">
        <is>
          <t>Package</t>
        </is>
      </c>
      <c r="C488" s="5" t="n">
        <v>1</v>
      </c>
      <c r="D488" s="22" t="n">
        <v>6000</v>
      </c>
      <c r="E488" s="23">
        <f>C488*D488</f>
        <v/>
      </c>
      <c r="F488" s="24" t="inlineStr">
        <is>
          <t>Family event coverage + fun video</t>
        </is>
      </c>
    </row>
    <row r="489">
      <c r="A489" s="7" t="inlineStr">
        <is>
          <t>Event Branding &amp; Design</t>
        </is>
      </c>
      <c r="B489" s="8" t="inlineStr">
        <is>
          <t>Package</t>
        </is>
      </c>
      <c r="C489" s="8" t="n">
        <v>1</v>
      </c>
      <c r="D489" s="25" t="n">
        <v>14000</v>
      </c>
      <c r="E489" s="26">
        <f>C489*D489</f>
        <v/>
      </c>
      <c r="F489" s="27" t="inlineStr">
        <is>
          <t>Kid-friendly branded materials, photo spots, social media, digital</t>
        </is>
      </c>
    </row>
    <row r="490">
      <c r="A490" s="11" t="inlineStr">
        <is>
          <t>Subtotal (Before Commission)</t>
        </is>
      </c>
      <c r="B490" s="15" t="n"/>
      <c r="C490" s="15" t="n"/>
      <c r="D490" s="15" t="n"/>
      <c r="E490" s="13">
        <f>SUM(E484:E489)</f>
        <v/>
      </c>
      <c r="F490" s="15" t="n"/>
    </row>
    <row r="491">
      <c r="A491" s="11" t="inlineStr">
        <is>
          <t>Agency Commission (15%)</t>
        </is>
      </c>
      <c r="B491" s="12" t="inlineStr">
        <is>
          <t>15%</t>
        </is>
      </c>
      <c r="C491" s="15" t="n"/>
      <c r="D491" s="15" t="n"/>
      <c r="E491" s="13">
        <f>E490*0.15</f>
        <v/>
      </c>
      <c r="F491" s="28" t="inlineStr">
        <is>
          <t>Agency management, planning &amp; execution fee</t>
        </is>
      </c>
    </row>
    <row r="492">
      <c r="A492" s="29" t="inlineStr">
        <is>
          <t>▶ EVENT 35: Universal Children's Day – TOTAL</t>
        </is>
      </c>
      <c r="B492" s="29" t="n"/>
      <c r="C492" s="29" t="n"/>
      <c r="D492" s="29" t="n"/>
      <c r="E492" s="30">
        <f>E490+E491</f>
        <v/>
      </c>
      <c r="F492" s="29" t="n"/>
    </row>
    <row r="494">
      <c r="A494" s="21" t="inlineStr">
        <is>
          <t>EVENT 36: Volunteer Day | Date: December 5 | Attendance: 80 | Community Location</t>
        </is>
      </c>
    </row>
    <row r="495">
      <c r="A495" s="3" t="inlineStr">
        <is>
          <t>Cost Item</t>
        </is>
      </c>
      <c r="B495" s="3" t="inlineStr">
        <is>
          <t>Unit</t>
        </is>
      </c>
      <c r="C495" s="3" t="inlineStr">
        <is>
          <t>Qty</t>
        </is>
      </c>
      <c r="D495" s="3" t="inlineStr">
        <is>
          <t>Unit Price (SAR)</t>
        </is>
      </c>
      <c r="E495" s="3" t="inlineStr">
        <is>
          <t>Total (SAR)</t>
        </is>
      </c>
      <c r="F495" s="3" t="inlineStr">
        <is>
          <t>Notes</t>
        </is>
      </c>
    </row>
    <row r="496">
      <c r="A496" s="4" t="inlineStr">
        <is>
          <t>Transportation (Buses)</t>
        </is>
      </c>
      <c r="B496" s="5" t="inlineStr">
        <is>
          <t>Per bus</t>
        </is>
      </c>
      <c r="C496" s="5" t="n">
        <v>2</v>
      </c>
      <c r="D496" s="22" t="n">
        <v>3500</v>
      </c>
      <c r="E496" s="23">
        <f>C496*D496</f>
        <v/>
      </c>
      <c r="F496" s="24" t="inlineStr">
        <is>
          <t>SERA HQ to community location + return</t>
        </is>
      </c>
    </row>
    <row r="497">
      <c r="A497" s="7" t="inlineStr">
        <is>
          <t>Branded Volunteer T-Shirts + Caps</t>
        </is>
      </c>
      <c r="B497" s="8" t="inlineStr">
        <is>
          <t>Per person</t>
        </is>
      </c>
      <c r="C497" s="8" t="n">
        <v>80</v>
      </c>
      <c r="D497" s="25" t="n">
        <v>70</v>
      </c>
      <c r="E497" s="26">
        <f>C497*D497</f>
        <v/>
      </c>
      <c r="F497" s="27" t="inlineStr">
        <is>
          <t>SERA branded volunteer kit</t>
        </is>
      </c>
    </row>
    <row r="498">
      <c r="A498" s="4" t="inlineStr">
        <is>
          <t>Activity Materials &amp; Supplies</t>
        </is>
      </c>
      <c r="B498" s="5" t="inlineStr">
        <is>
          <t>Package</t>
        </is>
      </c>
      <c r="C498" s="5" t="n">
        <v>1</v>
      </c>
      <c r="D498" s="22" t="n">
        <v>10000</v>
      </c>
      <c r="E498" s="23">
        <f>C498*D498</f>
        <v/>
      </c>
      <c r="F498" s="24" t="inlineStr">
        <is>
          <t>Supplies for volunteer work + tools</t>
        </is>
      </c>
    </row>
    <row r="499">
      <c r="A499" s="7" t="inlineStr">
        <is>
          <t>Volunteer Lunch Boxes + Water</t>
        </is>
      </c>
      <c r="B499" s="8" t="inlineStr">
        <is>
          <t>Per person</t>
        </is>
      </c>
      <c r="C499" s="8" t="n">
        <v>80</v>
      </c>
      <c r="D499" s="25" t="n">
        <v>70</v>
      </c>
      <c r="E499" s="26">
        <f>C499*D499</f>
        <v/>
      </c>
      <c r="F499" s="27" t="inlineStr">
        <is>
          <t>Premium boxed lunches + snacks</t>
        </is>
      </c>
    </row>
    <row r="500">
      <c r="A500" s="4" t="inlineStr">
        <is>
          <t>Photography &amp; Videography</t>
        </is>
      </c>
      <c r="B500" s="5" t="inlineStr">
        <is>
          <t>Package</t>
        </is>
      </c>
      <c r="C500" s="5" t="n">
        <v>1</v>
      </c>
      <c r="D500" s="22" t="n">
        <v>7000</v>
      </c>
      <c r="E500" s="23">
        <f>C500*D500</f>
        <v/>
      </c>
      <c r="F500" s="24" t="inlineStr">
        <is>
          <t>Documentation + CSR highlight video</t>
        </is>
      </c>
    </row>
    <row r="501">
      <c r="A501" s="7" t="inlineStr">
        <is>
          <t>Appreciation Certificates &amp; Medals</t>
        </is>
      </c>
      <c r="B501" s="8" t="inlineStr">
        <is>
          <t>Per person</t>
        </is>
      </c>
      <c r="C501" s="8" t="n">
        <v>80</v>
      </c>
      <c r="D501" s="25" t="n">
        <v>25</v>
      </c>
      <c r="E501" s="26">
        <f>C501*D501</f>
        <v/>
      </c>
      <c r="F501" s="27" t="inlineStr">
        <is>
          <t>Premium volunteer recognition</t>
        </is>
      </c>
    </row>
    <row r="502">
      <c r="A502" s="11" t="inlineStr">
        <is>
          <t>Subtotal (Before Commission)</t>
        </is>
      </c>
      <c r="B502" s="15" t="n"/>
      <c r="C502" s="15" t="n"/>
      <c r="D502" s="15" t="n"/>
      <c r="E502" s="13">
        <f>SUM(E496:E501)</f>
        <v/>
      </c>
      <c r="F502" s="15" t="n"/>
    </row>
    <row r="503">
      <c r="A503" s="11" t="inlineStr">
        <is>
          <t>Agency Commission (15%)</t>
        </is>
      </c>
      <c r="B503" s="12" t="inlineStr">
        <is>
          <t>15%</t>
        </is>
      </c>
      <c r="C503" s="15" t="n"/>
      <c r="D503" s="15" t="n"/>
      <c r="E503" s="13">
        <f>E502*0.15</f>
        <v/>
      </c>
      <c r="F503" s="28" t="inlineStr">
        <is>
          <t>Agency management, planning &amp; execution fee</t>
        </is>
      </c>
    </row>
    <row r="504">
      <c r="A504" s="29" t="inlineStr">
        <is>
          <t>▶ EVENT 36: Volunteer Day – TOTAL</t>
        </is>
      </c>
      <c r="B504" s="29" t="n"/>
      <c r="C504" s="29" t="n"/>
      <c r="D504" s="29" t="n"/>
      <c r="E504" s="30">
        <f>E502+E503</f>
        <v/>
      </c>
      <c r="F504" s="29" t="n"/>
    </row>
    <row r="506">
      <c r="A506" s="21" t="inlineStr">
        <is>
          <t>EVENT 37: Anti-Corruption Day | Date: December 9 | Attendance: 200 | SERA HQ / Conference</t>
        </is>
      </c>
    </row>
    <row r="507">
      <c r="A507" s="3" t="inlineStr">
        <is>
          <t>Cost Item</t>
        </is>
      </c>
      <c r="B507" s="3" t="inlineStr">
        <is>
          <t>Unit</t>
        </is>
      </c>
      <c r="C507" s="3" t="inlineStr">
        <is>
          <t>Qty</t>
        </is>
      </c>
      <c r="D507" s="3" t="inlineStr">
        <is>
          <t>Unit Price (SAR)</t>
        </is>
      </c>
      <c r="E507" s="3" t="inlineStr">
        <is>
          <t>Total (SAR)</t>
        </is>
      </c>
      <c r="F507" s="3" t="inlineStr">
        <is>
          <t>Notes</t>
        </is>
      </c>
    </row>
    <row r="508">
      <c r="A508" s="4" t="inlineStr">
        <is>
          <t>Venue</t>
        </is>
      </c>
      <c r="B508" s="5" t="inlineStr">
        <is>
          <t>SERA HQ</t>
        </is>
      </c>
      <c r="C508" s="5" t="n">
        <v>1</v>
      </c>
      <c r="D508" s="22" t="n">
        <v>0</v>
      </c>
      <c r="E508" s="23">
        <f>C508*D508</f>
        <v/>
      </c>
      <c r="F508" s="24" t="inlineStr">
        <is>
          <t>Internal</t>
        </is>
      </c>
    </row>
    <row r="509">
      <c r="A509" s="7" t="inlineStr">
        <is>
          <t>Ethics Expert / Nazaha Speaker</t>
        </is>
      </c>
      <c r="B509" s="8" t="inlineStr">
        <is>
          <t>Fee</t>
        </is>
      </c>
      <c r="C509" s="8" t="n">
        <v>1</v>
      </c>
      <c r="D509" s="25" t="n">
        <v>20000</v>
      </c>
      <c r="E509" s="26">
        <f>C509*D509</f>
        <v/>
      </c>
      <c r="F509" s="32" t="inlineStr">
        <is>
          <t>[NOTE] Price depends on speaker – Nazaha rep or ethics expert</t>
        </is>
      </c>
    </row>
    <row r="510">
      <c r="A510" s="4" t="inlineStr">
        <is>
          <t>Pledge Wall &amp; Integrity Display</t>
        </is>
      </c>
      <c r="B510" s="5" t="inlineStr">
        <is>
          <t>Package</t>
        </is>
      </c>
      <c r="C510" s="5" t="n">
        <v>1</v>
      </c>
      <c r="D510" s="22" t="n">
        <v>8000</v>
      </c>
      <c r="E510" s="23">
        <f>C510*D510</f>
        <v/>
      </c>
      <c r="F510" s="24" t="inlineStr">
        <is>
          <t>Interactive pledge wall + signing ceremony + LED display</t>
        </is>
      </c>
    </row>
    <row r="511">
      <c r="A511" s="7" t="inlineStr">
        <is>
          <t>Awareness Materials &amp; Booklets</t>
        </is>
      </c>
      <c r="B511" s="8" t="inlineStr">
        <is>
          <t>Per person</t>
        </is>
      </c>
      <c r="C511" s="8" t="n">
        <v>200</v>
      </c>
      <c r="D511" s="25" t="n">
        <v>30</v>
      </c>
      <c r="E511" s="26">
        <f>C511*D511</f>
        <v/>
      </c>
      <c r="F511" s="27" t="inlineStr">
        <is>
          <t>Brochures, ethics guide booklets, policy summary</t>
        </is>
      </c>
    </row>
    <row r="512">
      <c r="A512" s="4" t="inlineStr">
        <is>
          <t>Light Refreshments</t>
        </is>
      </c>
      <c r="B512" s="5" t="inlineStr">
        <is>
          <t>Per person</t>
        </is>
      </c>
      <c r="C512" s="5" t="n">
        <v>200</v>
      </c>
      <c r="D512" s="22" t="n">
        <v>50</v>
      </c>
      <c r="E512" s="23">
        <f>C512*D512</f>
        <v/>
      </c>
      <c r="F512" s="24" t="inlineStr">
        <is>
          <t>Coffee, premium snacks</t>
        </is>
      </c>
    </row>
    <row r="513">
      <c r="A513" s="7" t="inlineStr">
        <is>
          <t>Photography</t>
        </is>
      </c>
      <c r="B513" s="8" t="inlineStr">
        <is>
          <t>Half day</t>
        </is>
      </c>
      <c r="C513" s="8" t="n">
        <v>1</v>
      </c>
      <c r="D513" s="25" t="n">
        <v>3500</v>
      </c>
      <c r="E513" s="26">
        <f>C513*D513</f>
        <v/>
      </c>
      <c r="F513" s="27" t="inlineStr">
        <is>
          <t>Event coverage</t>
        </is>
      </c>
    </row>
    <row r="514">
      <c r="A514" s="4" t="inlineStr">
        <is>
          <t>Event Branding &amp; Design</t>
        </is>
      </c>
      <c r="B514" s="5" t="inlineStr">
        <is>
          <t>Package</t>
        </is>
      </c>
      <c r="C514" s="5" t="n">
        <v>1</v>
      </c>
      <c r="D514" s="22" t="n">
        <v>14000</v>
      </c>
      <c r="E514" s="23">
        <f>C514*D514</f>
        <v/>
      </c>
      <c r="F514" s="24" t="inlineStr">
        <is>
          <t>Signage, materials, social media kit, digital assets</t>
        </is>
      </c>
    </row>
    <row r="515">
      <c r="A515" s="11" t="inlineStr">
        <is>
          <t>Subtotal (Before Commission)</t>
        </is>
      </c>
      <c r="B515" s="15" t="n"/>
      <c r="C515" s="15" t="n"/>
      <c r="D515" s="15" t="n"/>
      <c r="E515" s="13">
        <f>SUM(E508:E514)</f>
        <v/>
      </c>
      <c r="F515" s="15" t="n"/>
    </row>
    <row r="516">
      <c r="A516" s="11" t="inlineStr">
        <is>
          <t>Agency Commission (15%)</t>
        </is>
      </c>
      <c r="B516" s="12" t="inlineStr">
        <is>
          <t>15%</t>
        </is>
      </c>
      <c r="C516" s="15" t="n"/>
      <c r="D516" s="15" t="n"/>
      <c r="E516" s="13">
        <f>E515*0.15</f>
        <v/>
      </c>
      <c r="F516" s="28" t="inlineStr">
        <is>
          <t>Agency management, planning &amp; execution fee</t>
        </is>
      </c>
    </row>
    <row r="517">
      <c r="A517" s="29" t="inlineStr">
        <is>
          <t>▶ EVENT 37: Anti-Corruption Day – TOTAL</t>
        </is>
      </c>
      <c r="B517" s="29" t="n"/>
      <c r="C517" s="29" t="n"/>
      <c r="D517" s="29" t="n"/>
      <c r="E517" s="30">
        <f>E515+E516</f>
        <v/>
      </c>
      <c r="F517" s="29" t="n"/>
    </row>
    <row r="519">
      <c r="A519" s="21" t="inlineStr">
        <is>
          <t>EVENT 38: Transformation Activities (أنشطة ومبادرات التحول) | Date: Q4 TBD | Attendance: 200 | SERA HQ</t>
        </is>
      </c>
    </row>
    <row r="520">
      <c r="A520" s="3" t="inlineStr">
        <is>
          <t>Cost Item</t>
        </is>
      </c>
      <c r="B520" s="3" t="inlineStr">
        <is>
          <t>Unit</t>
        </is>
      </c>
      <c r="C520" s="3" t="inlineStr">
        <is>
          <t>Qty</t>
        </is>
      </c>
      <c r="D520" s="3" t="inlineStr">
        <is>
          <t>Unit Price (SAR)</t>
        </is>
      </c>
      <c r="E520" s="3" t="inlineStr">
        <is>
          <t>Total (SAR)</t>
        </is>
      </c>
      <c r="F520" s="3" t="inlineStr">
        <is>
          <t>Notes</t>
        </is>
      </c>
    </row>
    <row r="521">
      <c r="A521" s="4" t="inlineStr">
        <is>
          <t>Venue</t>
        </is>
      </c>
      <c r="B521" s="5" t="inlineStr">
        <is>
          <t>SERA HQ</t>
        </is>
      </c>
      <c r="C521" s="5" t="n">
        <v>1</v>
      </c>
      <c r="D521" s="22" t="n">
        <v>0</v>
      </c>
      <c r="E521" s="23">
        <f>C521*D521</f>
        <v/>
      </c>
      <c r="F521" s="24" t="inlineStr">
        <is>
          <t>Internal – no rental cost</t>
        </is>
      </c>
    </row>
    <row r="522">
      <c r="A522" s="7" t="inlineStr">
        <is>
          <t>Transformation Office Booth Setup</t>
        </is>
      </c>
      <c r="B522" s="8" t="inlineStr">
        <is>
          <t>Package</t>
        </is>
      </c>
      <c r="C522" s="8" t="n">
        <v>1</v>
      </c>
      <c r="D522" s="25" t="n">
        <v>15000</v>
      </c>
      <c r="E522" s="26">
        <f>C522*D522</f>
        <v/>
      </c>
      <c r="F522" s="27" t="inlineStr">
        <is>
          <t>Interactive displays, digital transformation showcases</t>
        </is>
      </c>
    </row>
    <row r="523">
      <c r="A523" s="4" t="inlineStr">
        <is>
          <t>Expert Speakers / Panels</t>
        </is>
      </c>
      <c r="B523" s="5" t="inlineStr">
        <is>
          <t>Fee</t>
        </is>
      </c>
      <c r="C523" s="5" t="n">
        <v>2</v>
      </c>
      <c r="D523" s="22" t="n">
        <v>12000</v>
      </c>
      <c r="E523" s="23">
        <f>C523*D523</f>
        <v/>
      </c>
      <c r="F523" s="24" t="inlineStr">
        <is>
          <t>Transformation &amp; digital innovation experts</t>
        </is>
      </c>
    </row>
    <row r="524">
      <c r="A524" s="7" t="inlineStr">
        <is>
          <t>Interactive Workshops</t>
        </is>
      </c>
      <c r="B524" s="8" t="inlineStr">
        <is>
          <t>Package</t>
        </is>
      </c>
      <c r="C524" s="8" t="n">
        <v>1</v>
      </c>
      <c r="D524" s="25" t="n">
        <v>12000</v>
      </c>
      <c r="E524" s="26">
        <f>C524*D524</f>
        <v/>
      </c>
      <c r="F524" s="27" t="inlineStr">
        <is>
          <t>Hands-on transformation activities, design thinking</t>
        </is>
      </c>
    </row>
    <row r="525">
      <c r="A525" s="4" t="inlineStr">
        <is>
          <t>Awareness &amp; Promotional Materials</t>
        </is>
      </c>
      <c r="B525" s="5" t="inlineStr">
        <is>
          <t>Per person</t>
        </is>
      </c>
      <c r="C525" s="5" t="n">
        <v>200</v>
      </c>
      <c r="D525" s="22" t="n">
        <v>30</v>
      </c>
      <c r="E525" s="23">
        <f>C525*D525</f>
        <v/>
      </c>
      <c r="F525" s="24" t="inlineStr">
        <is>
          <t>Branded booklets, digital roadmap guides</t>
        </is>
      </c>
    </row>
    <row r="526">
      <c r="A526" s="7" t="inlineStr">
        <is>
          <t>Light Refreshments</t>
        </is>
      </c>
      <c r="B526" s="8" t="inlineStr">
        <is>
          <t>Per person</t>
        </is>
      </c>
      <c r="C526" s="8" t="n">
        <v>200</v>
      </c>
      <c r="D526" s="25" t="n">
        <v>45</v>
      </c>
      <c r="E526" s="26">
        <f>C526*D526</f>
        <v/>
      </c>
      <c r="F526" s="27" t="inlineStr">
        <is>
          <t>Coffee, snacks, lunch boxes</t>
        </is>
      </c>
    </row>
    <row r="527">
      <c r="A527" s="4" t="inlineStr">
        <is>
          <t>Photography &amp; Videography</t>
        </is>
      </c>
      <c r="B527" s="5" t="inlineStr">
        <is>
          <t>Package</t>
        </is>
      </c>
      <c r="C527" s="5" t="n">
        <v>1</v>
      </c>
      <c r="D527" s="22" t="n">
        <v>8000</v>
      </c>
      <c r="E527" s="23">
        <f>C527*D527</f>
        <v/>
      </c>
      <c r="F527" s="24" t="inlineStr">
        <is>
          <t>Event documentation + highlight video</t>
        </is>
      </c>
    </row>
    <row r="528">
      <c r="A528" s="7" t="inlineStr">
        <is>
          <t>Event Branding &amp; Design</t>
        </is>
      </c>
      <c r="B528" s="8" t="inlineStr">
        <is>
          <t>Package</t>
        </is>
      </c>
      <c r="C528" s="8" t="n">
        <v>1</v>
      </c>
      <c r="D528" s="25" t="n">
        <v>14000</v>
      </c>
      <c r="E528" s="26">
        <f>C528*D528</f>
        <v/>
      </c>
      <c r="F528" s="27" t="inlineStr">
        <is>
          <t>Transformation-themed signage, materials, social media kit</t>
        </is>
      </c>
    </row>
    <row r="529">
      <c r="A529" s="11" t="inlineStr">
        <is>
          <t>Subtotal (Before Commission)</t>
        </is>
      </c>
      <c r="B529" s="15" t="n"/>
      <c r="C529" s="15" t="n"/>
      <c r="D529" s="15" t="n"/>
      <c r="E529" s="13">
        <f>SUM(E521:E528)</f>
        <v/>
      </c>
      <c r="F529" s="15" t="n"/>
    </row>
    <row r="530">
      <c r="A530" s="11" t="inlineStr">
        <is>
          <t>Agency Commission (15%)</t>
        </is>
      </c>
      <c r="B530" s="12" t="inlineStr">
        <is>
          <t>15%</t>
        </is>
      </c>
      <c r="C530" s="15" t="n"/>
      <c r="D530" s="15" t="n"/>
      <c r="E530" s="13">
        <f>E529*0.15</f>
        <v/>
      </c>
      <c r="F530" s="28" t="inlineStr">
        <is>
          <t>Agency management, planning &amp; execution fee</t>
        </is>
      </c>
    </row>
    <row r="531">
      <c r="A531" s="29" t="inlineStr">
        <is>
          <t>▶ EVENT 38: Transformation Activities (أنشطة ومبادرات التحول) – TOTAL</t>
        </is>
      </c>
      <c r="B531" s="29" t="n"/>
      <c r="C531" s="29" t="n"/>
      <c r="D531" s="29" t="n"/>
      <c r="E531" s="30">
        <f>E529+E530</f>
        <v/>
      </c>
      <c r="F531" s="29" t="n"/>
    </row>
    <row r="533">
      <c r="A533" s="21" t="inlineStr">
        <is>
          <t>EVENT 39: Ideal Office Competition (المكتب المثالي) | Date: Q4 TBD | Attendance: 200 | SERA HQ</t>
        </is>
      </c>
    </row>
    <row r="534">
      <c r="A534" s="3" t="inlineStr">
        <is>
          <t>Cost Item</t>
        </is>
      </c>
      <c r="B534" s="3" t="inlineStr">
        <is>
          <t>Unit</t>
        </is>
      </c>
      <c r="C534" s="3" t="inlineStr">
        <is>
          <t>Qty</t>
        </is>
      </c>
      <c r="D534" s="3" t="inlineStr">
        <is>
          <t>Unit Price (SAR)</t>
        </is>
      </c>
      <c r="E534" s="3" t="inlineStr">
        <is>
          <t>Total (SAR)</t>
        </is>
      </c>
      <c r="F534" s="3" t="inlineStr">
        <is>
          <t>Notes</t>
        </is>
      </c>
    </row>
    <row r="535">
      <c r="A535" s="4" t="inlineStr">
        <is>
          <t>Venue</t>
        </is>
      </c>
      <c r="B535" s="5" t="inlineStr">
        <is>
          <t>SERA HQ</t>
        </is>
      </c>
      <c r="C535" s="5" t="n">
        <v>1</v>
      </c>
      <c r="D535" s="22" t="n">
        <v>0</v>
      </c>
      <c r="E535" s="23">
        <f>C535*D535</f>
        <v/>
      </c>
      <c r="F535" s="24" t="inlineStr">
        <is>
          <t>Internal – no rental cost</t>
        </is>
      </c>
    </row>
    <row r="536">
      <c r="A536" s="7" t="inlineStr">
        <is>
          <t>Evaluation Program Setup</t>
        </is>
      </c>
      <c r="B536" s="8" t="inlineStr">
        <is>
          <t>Package</t>
        </is>
      </c>
      <c r="C536" s="8" t="n">
        <v>1</v>
      </c>
      <c r="D536" s="25" t="n">
        <v>10000</v>
      </c>
      <c r="E536" s="26">
        <f>C536*D536</f>
        <v/>
      </c>
      <c r="F536" s="27" t="inlineStr">
        <is>
          <t>Criteria framework, scoring system, inspections</t>
        </is>
      </c>
    </row>
    <row r="537">
      <c r="A537" s="4" t="inlineStr">
        <is>
          <t>Award Trophies &amp; Certificates</t>
        </is>
      </c>
      <c r="B537" s="5" t="inlineStr">
        <is>
          <t>Set</t>
        </is>
      </c>
      <c r="C537" s="5" t="n">
        <v>1</v>
      </c>
      <c r="D537" s="22" t="n">
        <v>12000</v>
      </c>
      <c r="E537" s="23">
        <f>C537*D537</f>
        <v/>
      </c>
      <c r="F537" s="24" t="inlineStr">
        <is>
          <t>Best office trophies + runner-up + certificates</t>
        </is>
      </c>
    </row>
    <row r="538">
      <c r="A538" s="7" t="inlineStr">
        <is>
          <t>Inspection &amp; Judging Panel</t>
        </is>
      </c>
      <c r="B538" s="8" t="inlineStr">
        <is>
          <t>Package</t>
        </is>
      </c>
      <c r="C538" s="8" t="n">
        <v>1</v>
      </c>
      <c r="D538" s="25" t="n">
        <v>8000</v>
      </c>
      <c r="E538" s="26">
        <f>C538*D538</f>
        <v/>
      </c>
      <c r="F538" s="27" t="inlineStr">
        <is>
          <t>External judges, evaluation sheets, site visits</t>
        </is>
      </c>
    </row>
    <row r="539">
      <c r="A539" s="4" t="inlineStr">
        <is>
          <t>Ceremony Setup (Mini stage)</t>
        </is>
      </c>
      <c r="B539" s="5" t="inlineStr">
        <is>
          <t>Package</t>
        </is>
      </c>
      <c r="C539" s="5" t="n">
        <v>1</v>
      </c>
      <c r="D539" s="22" t="n">
        <v>10000</v>
      </c>
      <c r="E539" s="23">
        <f>C539*D539</f>
        <v/>
      </c>
      <c r="F539" s="24" t="inlineStr">
        <is>
          <t>Award stage, backdrop, audio, podium</t>
        </is>
      </c>
    </row>
    <row r="540">
      <c r="A540" s="7" t="inlineStr">
        <is>
          <t>Light Refreshments</t>
        </is>
      </c>
      <c r="B540" s="8" t="inlineStr">
        <is>
          <t>Per person</t>
        </is>
      </c>
      <c r="C540" s="8" t="n">
        <v>200</v>
      </c>
      <c r="D540" s="25" t="n">
        <v>40</v>
      </c>
      <c r="E540" s="26">
        <f>C540*D540</f>
        <v/>
      </c>
      <c r="F540" s="27" t="inlineStr">
        <is>
          <t>Coffee, snacks for ceremony</t>
        </is>
      </c>
    </row>
    <row r="541">
      <c r="A541" s="4" t="inlineStr">
        <is>
          <t>Photography</t>
        </is>
      </c>
      <c r="B541" s="5" t="inlineStr">
        <is>
          <t>Half day</t>
        </is>
      </c>
      <c r="C541" s="5" t="n">
        <v>1</v>
      </c>
      <c r="D541" s="22" t="n">
        <v>3500</v>
      </c>
      <c r="E541" s="23">
        <f>C541*D541</f>
        <v/>
      </c>
      <c r="F541" s="24" t="inlineStr">
        <is>
          <t>Award ceremony documentation</t>
        </is>
      </c>
    </row>
    <row r="542">
      <c r="A542" s="7" t="inlineStr">
        <is>
          <t>Event Branding &amp; Design</t>
        </is>
      </c>
      <c r="B542" s="8" t="inlineStr">
        <is>
          <t>Package</t>
        </is>
      </c>
      <c r="C542" s="8" t="n">
        <v>1</v>
      </c>
      <c r="D542" s="25" t="n">
        <v>14000</v>
      </c>
      <c r="E542" s="26">
        <f>C542*D542</f>
        <v/>
      </c>
      <c r="F542" s="27" t="inlineStr">
        <is>
          <t>Competition signage, certificates, social media kit</t>
        </is>
      </c>
    </row>
    <row r="543">
      <c r="A543" s="11" t="inlineStr">
        <is>
          <t>Subtotal (Before Commission)</t>
        </is>
      </c>
      <c r="B543" s="15" t="n"/>
      <c r="C543" s="15" t="n"/>
      <c r="D543" s="15" t="n"/>
      <c r="E543" s="13">
        <f>SUM(E535:E542)</f>
        <v/>
      </c>
      <c r="F543" s="15" t="n"/>
    </row>
    <row r="544">
      <c r="A544" s="11" t="inlineStr">
        <is>
          <t>Agency Commission (15%)</t>
        </is>
      </c>
      <c r="B544" s="12" t="inlineStr">
        <is>
          <t>15%</t>
        </is>
      </c>
      <c r="C544" s="15" t="n"/>
      <c r="D544" s="15" t="n"/>
      <c r="E544" s="13">
        <f>E543*0.15</f>
        <v/>
      </c>
      <c r="F544" s="28" t="inlineStr">
        <is>
          <t>Agency management, planning &amp; execution fee</t>
        </is>
      </c>
    </row>
    <row r="545">
      <c r="A545" s="29" t="inlineStr">
        <is>
          <t>▶ EVENT 39: Ideal Office Competition (المكتب المثالي) – TOTAL</t>
        </is>
      </c>
      <c r="B545" s="29" t="n"/>
      <c r="C545" s="29" t="n"/>
      <c r="D545" s="29" t="n"/>
      <c r="E545" s="30">
        <f>E543+E544</f>
        <v/>
      </c>
      <c r="F545" s="29" t="n"/>
    </row>
    <row r="547">
      <c r="A547" s="21" t="inlineStr">
        <is>
          <t>EVENT 40: Arabic Language Day | Date: December 18 | Attendance: 200 | Cultural Venue</t>
        </is>
      </c>
    </row>
    <row r="548">
      <c r="A548" s="3" t="inlineStr">
        <is>
          <t>Cost Item</t>
        </is>
      </c>
      <c r="B548" s="3" t="inlineStr">
        <is>
          <t>Unit</t>
        </is>
      </c>
      <c r="C548" s="3" t="inlineStr">
        <is>
          <t>Qty</t>
        </is>
      </c>
      <c r="D548" s="3" t="inlineStr">
        <is>
          <t>Unit Price (SAR)</t>
        </is>
      </c>
      <c r="E548" s="3" t="inlineStr">
        <is>
          <t>Total (SAR)</t>
        </is>
      </c>
      <c r="F548" s="3" t="inlineStr">
        <is>
          <t>Notes</t>
        </is>
      </c>
    </row>
    <row r="549">
      <c r="A549" s="4" t="inlineStr">
        <is>
          <t>Venue (Cultural setting)</t>
        </is>
      </c>
      <c r="B549" s="5" t="inlineStr">
        <is>
          <t>3 hours</t>
        </is>
      </c>
      <c r="C549" s="5" t="n">
        <v>1</v>
      </c>
      <c r="D549" s="22" t="n">
        <v>20000</v>
      </c>
      <c r="E549" s="23">
        <f>C549*D549</f>
        <v/>
      </c>
      <c r="F549" s="24" t="inlineStr">
        <is>
          <t>Cultural center or elegant hall</t>
        </is>
      </c>
    </row>
    <row r="550">
      <c r="A550" s="7" t="inlineStr">
        <is>
          <t>Poet / Arabic Author Guest</t>
        </is>
      </c>
      <c r="B550" s="8" t="inlineStr">
        <is>
          <t>Fee</t>
        </is>
      </c>
      <c r="C550" s="8" t="n">
        <v>1</v>
      </c>
      <c r="D550" s="25" t="n">
        <v>15000</v>
      </c>
      <c r="E550" s="26">
        <f>C550*D550</f>
        <v/>
      </c>
      <c r="F550" s="27" t="inlineStr">
        <is>
          <t>Arabic literature figure + book signing</t>
        </is>
      </c>
    </row>
    <row r="551">
      <c r="A551" s="4" t="inlineStr">
        <is>
          <t>Live Calligraphy Workshop</t>
        </is>
      </c>
      <c r="B551" s="5" t="inlineStr">
        <is>
          <t>Package</t>
        </is>
      </c>
      <c r="C551" s="5" t="n">
        <v>1</v>
      </c>
      <c r="D551" s="22" t="n">
        <v>10000</v>
      </c>
      <c r="E551" s="23">
        <f>C551*D551</f>
        <v/>
      </c>
      <c r="F551" s="24" t="inlineStr">
        <is>
          <t>Professional calligrapher + materials for 80</t>
        </is>
      </c>
    </row>
    <row r="552">
      <c r="A552" s="7" t="inlineStr">
        <is>
          <t>Arabic Poetry Reading / Recital</t>
        </is>
      </c>
      <c r="B552" s="8" t="inlineStr">
        <is>
          <t>Package</t>
        </is>
      </c>
      <c r="C552" s="8" t="n">
        <v>1</v>
      </c>
      <c r="D552" s="25" t="n">
        <v>9000</v>
      </c>
      <c r="E552" s="26">
        <f>C552*D552</f>
        <v/>
      </c>
      <c r="F552" s="27" t="inlineStr">
        <is>
          <t>Professional recital performance + music</t>
        </is>
      </c>
    </row>
    <row r="553">
      <c r="A553" s="4" t="inlineStr">
        <is>
          <t>Traditional Arabic Refreshments</t>
        </is>
      </c>
      <c r="B553" s="5" t="inlineStr">
        <is>
          <t>Per person</t>
        </is>
      </c>
      <c r="C553" s="5" t="n">
        <v>200</v>
      </c>
      <c r="D553" s="22" t="n">
        <v>60</v>
      </c>
      <c r="E553" s="23">
        <f>C553*D553</f>
        <v/>
      </c>
      <c r="F553" s="24" t="inlineStr">
        <is>
          <t>Arabic coffee, dates, premium sweets, luqaimat</t>
        </is>
      </c>
    </row>
    <row r="554">
      <c r="A554" s="7" t="inlineStr">
        <is>
          <t>Cultural Décor (Calligraphy art)</t>
        </is>
      </c>
      <c r="B554" s="8" t="inlineStr">
        <is>
          <t>Package</t>
        </is>
      </c>
      <c r="C554" s="8" t="n">
        <v>1</v>
      </c>
      <c r="D554" s="25" t="n">
        <v>8000</v>
      </c>
      <c r="E554" s="26">
        <f>C554*D554</f>
        <v/>
      </c>
      <c r="F554" s="27" t="inlineStr">
        <is>
          <t>Arabic calligraphy displays + art + manuscripts</t>
        </is>
      </c>
    </row>
    <row r="555">
      <c r="A555" s="4" t="inlineStr">
        <is>
          <t>Photography</t>
        </is>
      </c>
      <c r="B555" s="5" t="inlineStr">
        <is>
          <t>3 hours</t>
        </is>
      </c>
      <c r="C555" s="5" t="n">
        <v>1</v>
      </c>
      <c r="D555" s="22" t="n">
        <v>4500</v>
      </c>
      <c r="E555" s="23">
        <f>C555*D555</f>
        <v/>
      </c>
      <c r="F555" s="24" t="inlineStr">
        <is>
          <t>Event coverage</t>
        </is>
      </c>
    </row>
    <row r="556">
      <c r="A556" s="7" t="inlineStr">
        <is>
          <t>Event Branding &amp; Design</t>
        </is>
      </c>
      <c r="B556" s="8" t="inlineStr">
        <is>
          <t>Package</t>
        </is>
      </c>
      <c r="C556" s="8" t="n">
        <v>1</v>
      </c>
      <c r="D556" s="25" t="n">
        <v>14000</v>
      </c>
      <c r="E556" s="26">
        <f>C556*D556</f>
        <v/>
      </c>
      <c r="F556" s="27" t="inlineStr">
        <is>
          <t>Arabic-themed invitations, signage, social media kit, digital assets</t>
        </is>
      </c>
    </row>
    <row r="557">
      <c r="A557" s="11" t="inlineStr">
        <is>
          <t>Subtotal (Before Commission)</t>
        </is>
      </c>
      <c r="B557" s="15" t="n"/>
      <c r="C557" s="15" t="n"/>
      <c r="D557" s="15" t="n"/>
      <c r="E557" s="13">
        <f>SUM(E549:E556)</f>
        <v/>
      </c>
      <c r="F557" s="15" t="n"/>
    </row>
    <row r="558">
      <c r="A558" s="11" t="inlineStr">
        <is>
          <t>Agency Commission (15%)</t>
        </is>
      </c>
      <c r="B558" s="12" t="inlineStr">
        <is>
          <t>15%</t>
        </is>
      </c>
      <c r="C558" s="15" t="n"/>
      <c r="D558" s="15" t="n"/>
      <c r="E558" s="13">
        <f>E557*0.15</f>
        <v/>
      </c>
      <c r="F558" s="28" t="inlineStr">
        <is>
          <t>Agency management, planning &amp; execution fee</t>
        </is>
      </c>
    </row>
    <row r="559">
      <c r="A559" s="29" t="inlineStr">
        <is>
          <t>▶ EVENT 40: Arabic Language Day – TOTAL</t>
        </is>
      </c>
      <c r="B559" s="29" t="n"/>
      <c r="C559" s="29" t="n"/>
      <c r="D559" s="29" t="n"/>
      <c r="E559" s="30">
        <f>E557+E558</f>
        <v/>
      </c>
      <c r="F559" s="29" t="n"/>
    </row>
    <row r="561">
      <c r="A561" s="21" t="inlineStr">
        <is>
          <t>EVENT 41: Year-End Celebration | Date: Late December | Attendance: 300 | 5-Star Hotel – Premium Gala</t>
        </is>
      </c>
    </row>
    <row r="562">
      <c r="A562" s="3" t="inlineStr">
        <is>
          <t>Cost Item</t>
        </is>
      </c>
      <c r="B562" s="3" t="inlineStr">
        <is>
          <t>Unit</t>
        </is>
      </c>
      <c r="C562" s="3" t="inlineStr">
        <is>
          <t>Qty</t>
        </is>
      </c>
      <c r="D562" s="3" t="inlineStr">
        <is>
          <t>Unit Price (SAR)</t>
        </is>
      </c>
      <c r="E562" s="3" t="inlineStr">
        <is>
          <t>Total (SAR)</t>
        </is>
      </c>
      <c r="F562" s="3" t="inlineStr">
        <is>
          <t>Notes</t>
        </is>
      </c>
    </row>
    <row r="563">
      <c r="A563" s="4" t="inlineStr">
        <is>
          <t>Venue Rental (Premium Gala setup)</t>
        </is>
      </c>
      <c r="B563" s="5" t="inlineStr">
        <is>
          <t>Evening</t>
        </is>
      </c>
      <c r="C563" s="5" t="n">
        <v>1</v>
      </c>
      <c r="D563" s="22" t="n">
        <v>70000</v>
      </c>
      <c r="E563" s="23">
        <f>C563*D563</f>
        <v/>
      </c>
      <c r="F563" s="31" t="inlineStr">
        <is>
          <t>[NOTE] Book 3 months ahead – December peak season</t>
        </is>
      </c>
    </row>
    <row r="564">
      <c r="A564" s="7" t="inlineStr">
        <is>
          <t>Catering – Premium Gala Dinner</t>
        </is>
      </c>
      <c r="B564" s="8" t="inlineStr">
        <is>
          <t>Per person</t>
        </is>
      </c>
      <c r="C564" s="8" t="n">
        <v>300</v>
      </c>
      <c r="D564" s="25" t="n">
        <v>395</v>
      </c>
      <c r="E564" s="26">
        <f>C564*D564</f>
        <v/>
      </c>
      <c r="F564" s="27" t="inlineStr">
        <is>
          <t>Live cooking stations, international premium menu + dessert bar</t>
        </is>
      </c>
    </row>
    <row r="565">
      <c r="A565" s="4" t="inlineStr">
        <is>
          <t>Stage &amp; Premium Year-End Décor</t>
        </is>
      </c>
      <c r="B565" s="5" t="inlineStr">
        <is>
          <t>Package</t>
        </is>
      </c>
      <c r="C565" s="5" t="n">
        <v>1</v>
      </c>
      <c r="D565" s="22" t="n">
        <v>48000</v>
      </c>
      <c r="E565" s="23">
        <f>C565*D565</f>
        <v/>
      </c>
      <c r="F565" s="24" t="inlineStr">
        <is>
          <t>Elegant theme + year-end branding + immersive lighting design</t>
        </is>
      </c>
    </row>
    <row r="566">
      <c r="A566" s="7" t="inlineStr">
        <is>
          <t>Premium Entertainment (Band + Acts)</t>
        </is>
      </c>
      <c r="B566" s="8" t="inlineStr">
        <is>
          <t>Package</t>
        </is>
      </c>
      <c r="C566" s="8" t="n">
        <v>1</v>
      </c>
      <c r="D566" s="25" t="n">
        <v>38000</v>
      </c>
      <c r="E566" s="26">
        <f>C566*D566</f>
        <v/>
      </c>
      <c r="F566" s="27" t="inlineStr">
        <is>
          <t>High-quality headline entertainment + performer</t>
        </is>
      </c>
    </row>
    <row r="567">
      <c r="A567" s="4" t="inlineStr">
        <is>
          <t>LED Video Wall &amp; Full AV Production</t>
        </is>
      </c>
      <c r="B567" s="5" t="inlineStr">
        <is>
          <t>Package</t>
        </is>
      </c>
      <c r="C567" s="5" t="n">
        <v>1</v>
      </c>
      <c r="D567" s="22" t="n">
        <v>26000</v>
      </c>
      <c r="E567" s="23">
        <f>C567*D567</f>
        <v/>
      </c>
      <c r="F567" s="24" t="inlineStr">
        <is>
          <t>Year-review video playback + full production + effects</t>
        </is>
      </c>
    </row>
    <row r="568">
      <c r="A568" s="7" t="inlineStr">
        <is>
          <t>Annual Awards Ceremony Package</t>
        </is>
      </c>
      <c r="B568" s="8" t="inlineStr">
        <is>
          <t>Package</t>
        </is>
      </c>
      <c r="C568" s="8" t="n">
        <v>1</v>
      </c>
      <c r="D568" s="25" t="n">
        <v>20000</v>
      </c>
      <c r="E568" s="26">
        <f>C568*D568</f>
        <v/>
      </c>
      <c r="F568" s="27" t="inlineStr">
        <is>
          <t>15 trophies, recognition displays, awards video, frames</t>
        </is>
      </c>
    </row>
    <row r="569">
      <c r="A569" s="4" t="inlineStr">
        <is>
          <t>Photography &amp; Videography (Full team)</t>
        </is>
      </c>
      <c r="B569" s="5" t="inlineStr">
        <is>
          <t>Package</t>
        </is>
      </c>
      <c r="C569" s="5" t="n">
        <v>1</v>
      </c>
      <c r="D569" s="22" t="n">
        <v>22000</v>
      </c>
      <c r="E569" s="23">
        <f>C569*D569</f>
        <v/>
      </c>
      <c r="F569" s="24" t="inlineStr">
        <is>
          <t>Complete professional coverage + same-day preview</t>
        </is>
      </c>
    </row>
    <row r="570">
      <c r="A570" s="7" t="inlineStr">
        <is>
          <t>Year-End Premium Gifts</t>
        </is>
      </c>
      <c r="B570" s="8" t="inlineStr">
        <is>
          <t>Per person</t>
        </is>
      </c>
      <c r="C570" s="8" t="n">
        <v>300</v>
      </c>
      <c r="D570" s="25" t="n">
        <v>185</v>
      </c>
      <c r="E570" s="26">
        <f>C570*D570</f>
        <v/>
      </c>
      <c r="F570" s="27" t="inlineStr">
        <is>
          <t>Premium thank-you gift box with personalized item</t>
        </is>
      </c>
    </row>
    <row r="571">
      <c r="A571" s="4" t="inlineStr">
        <is>
          <t>Professional MC (Premium)</t>
        </is>
      </c>
      <c r="B571" s="5" t="inlineStr">
        <is>
          <t>Full event</t>
        </is>
      </c>
      <c r="C571" s="5" t="n">
        <v>1</v>
      </c>
      <c r="D571" s="22" t="n">
        <v>15000</v>
      </c>
      <c r="E571" s="23">
        <f>C571*D571</f>
        <v/>
      </c>
      <c r="F571" s="24" t="inlineStr">
        <is>
          <t>High-profile gala host</t>
        </is>
      </c>
    </row>
    <row r="572">
      <c r="A572" s="7" t="inlineStr">
        <is>
          <t>Event Branding &amp; Design</t>
        </is>
      </c>
      <c r="B572" s="8" t="inlineStr">
        <is>
          <t>Package</t>
        </is>
      </c>
      <c r="C572" s="8" t="n">
        <v>1</v>
      </c>
      <c r="D572" s="25" t="n">
        <v>18000</v>
      </c>
      <c r="E572" s="26">
        <f>C572*D572</f>
        <v/>
      </c>
      <c r="F572" s="27" t="inlineStr">
        <is>
          <t>Invitations, backdrop, table cards, menus, signage, social media, video</t>
        </is>
      </c>
    </row>
    <row r="573">
      <c r="A573" s="11" t="inlineStr">
        <is>
          <t>Subtotal (Before Commission)</t>
        </is>
      </c>
      <c r="B573" s="15" t="n"/>
      <c r="C573" s="15" t="n"/>
      <c r="D573" s="15" t="n"/>
      <c r="E573" s="13">
        <f>SUM(E563:E572)</f>
        <v/>
      </c>
      <c r="F573" s="15" t="n"/>
    </row>
    <row r="574">
      <c r="A574" s="11" t="inlineStr">
        <is>
          <t>Agency Commission (15%)</t>
        </is>
      </c>
      <c r="B574" s="12" t="inlineStr">
        <is>
          <t>15%</t>
        </is>
      </c>
      <c r="C574" s="15" t="n"/>
      <c r="D574" s="15" t="n"/>
      <c r="E574" s="13">
        <f>E573*0.15</f>
        <v/>
      </c>
      <c r="F574" s="28" t="inlineStr">
        <is>
          <t>Agency management, planning &amp; execution fee</t>
        </is>
      </c>
    </row>
    <row r="575">
      <c r="A575" s="29" t="inlineStr">
        <is>
          <t>▶ EVENT 41: Year-End Celebration – TOTAL</t>
        </is>
      </c>
      <c r="B575" s="29" t="n"/>
      <c r="C575" s="29" t="n"/>
      <c r="D575" s="29" t="n"/>
      <c r="E575" s="30">
        <f>E573+E574</f>
        <v/>
      </c>
      <c r="F575" s="29" t="n"/>
    </row>
    <row r="578">
      <c r="A578" s="1" t="inlineStr">
        <is>
          <t>NEWSLETTERS EVENTS</t>
        </is>
      </c>
    </row>
    <row r="579">
      <c r="A579" s="21" t="inlineStr">
        <is>
          <t>ANNUAL: 52 Weekly Internal Newsletters | Date: Full Year 2026 | Attendance: 52 | Digital + Print Distribution</t>
        </is>
      </c>
    </row>
    <row r="580">
      <c r="A580" s="3" t="inlineStr">
        <is>
          <t>Cost Item</t>
        </is>
      </c>
      <c r="B580" s="3" t="inlineStr">
        <is>
          <t>Unit</t>
        </is>
      </c>
      <c r="C580" s="3" t="inlineStr">
        <is>
          <t>Qty</t>
        </is>
      </c>
      <c r="D580" s="3" t="inlineStr">
        <is>
          <t>Unit Price (SAR)</t>
        </is>
      </c>
      <c r="E580" s="3" t="inlineStr">
        <is>
          <t>Total (SAR)</t>
        </is>
      </c>
      <c r="F580" s="3" t="inlineStr">
        <is>
          <t>Notes</t>
        </is>
      </c>
    </row>
    <row r="581">
      <c r="A581" s="4" t="inlineStr">
        <is>
          <t>Newsletter Content Writing (Arabic)</t>
        </is>
      </c>
      <c r="B581" s="5" t="inlineStr">
        <is>
          <t>Per issue</t>
        </is>
      </c>
      <c r="C581" s="5" t="n">
        <v>52</v>
      </c>
      <c r="D581" s="22" t="n">
        <v>2500</v>
      </c>
      <c r="E581" s="23">
        <f>C581*D581</f>
        <v/>
      </c>
      <c r="F581" s="24" t="inlineStr">
        <is>
          <t>Professional Arabic content writer, research, interviews</t>
        </is>
      </c>
    </row>
    <row r="582">
      <c r="A582" s="7" t="inlineStr">
        <is>
          <t>Newsletter Content Writing (English)</t>
        </is>
      </c>
      <c r="B582" s="8" t="inlineStr">
        <is>
          <t>Per issue</t>
        </is>
      </c>
      <c r="C582" s="8" t="n">
        <v>52</v>
      </c>
      <c r="D582" s="25" t="n">
        <v>2000</v>
      </c>
      <c r="E582" s="26">
        <f>C582*D582</f>
        <v/>
      </c>
      <c r="F582" s="27" t="inlineStr">
        <is>
          <t>English version / bilingual adaptation</t>
        </is>
      </c>
    </row>
    <row r="583">
      <c r="A583" s="4" t="inlineStr">
        <is>
          <t>Graphic Design &amp; Layout</t>
        </is>
      </c>
      <c r="B583" s="5" t="inlineStr">
        <is>
          <t>Per issue</t>
        </is>
      </c>
      <c r="C583" s="5" t="n">
        <v>52</v>
      </c>
      <c r="D583" s="22" t="n">
        <v>2200</v>
      </c>
      <c r="E583" s="23">
        <f>C583*D583</f>
        <v/>
      </c>
      <c r="F583" s="24" t="inlineStr">
        <is>
          <t>Custom branded template, infographics, illustrations</t>
        </is>
      </c>
    </row>
    <row r="584">
      <c r="A584" s="7" t="inlineStr">
        <is>
          <t>Photography for Newsletter Content</t>
        </is>
      </c>
      <c r="B584" s="8" t="inlineStr">
        <is>
          <t>Per month</t>
        </is>
      </c>
      <c r="C584" s="8" t="n">
        <v>12</v>
      </c>
      <c r="D584" s="25" t="n">
        <v>3000</v>
      </c>
      <c r="E584" s="26">
        <f>C584*D584</f>
        <v/>
      </c>
      <c r="F584" s="27" t="inlineStr">
        <is>
          <t>Monthly photoshoot for newsletter imagery</t>
        </is>
      </c>
    </row>
    <row r="585">
      <c r="A585" s="4" t="inlineStr">
        <is>
          <t>Editorial Management &amp; Review</t>
        </is>
      </c>
      <c r="B585" s="5" t="inlineStr">
        <is>
          <t>Per month</t>
        </is>
      </c>
      <c r="C585" s="5" t="n">
        <v>12</v>
      </c>
      <c r="D585" s="22" t="n">
        <v>4500</v>
      </c>
      <c r="E585" s="23">
        <f>C585*D585</f>
        <v/>
      </c>
      <c r="F585" s="24" t="inlineStr">
        <is>
          <t>Editor-in-chief, editorial calendar, quality control</t>
        </is>
      </c>
    </row>
    <row r="586">
      <c r="A586" s="7" t="inlineStr">
        <is>
          <t>Digital Distribution Platform</t>
        </is>
      </c>
      <c r="B586" s="8" t="inlineStr">
        <is>
          <t>Per month</t>
        </is>
      </c>
      <c r="C586" s="8" t="n">
        <v>12</v>
      </c>
      <c r="D586" s="25" t="n">
        <v>1500</v>
      </c>
      <c r="E586" s="26">
        <f>C586*D586</f>
        <v/>
      </c>
      <c r="F586" s="27" t="inlineStr">
        <is>
          <t>Email platform, analytics, distribution management</t>
        </is>
      </c>
    </row>
    <row r="587">
      <c r="A587" s="4" t="inlineStr">
        <is>
          <t>Print Production (Limited VIP copies)</t>
        </is>
      </c>
      <c r="B587" s="5" t="inlineStr">
        <is>
          <t>Per issue</t>
        </is>
      </c>
      <c r="C587" s="5" t="n">
        <v>52</v>
      </c>
      <c r="D587" s="22" t="n">
        <v>800</v>
      </c>
      <c r="E587" s="23">
        <f>C587*D587</f>
        <v/>
      </c>
      <c r="F587" s="31" t="inlineStr">
        <is>
          <t>[NOTE] 50 printed copies per issue for VIP/leadership distribution</t>
        </is>
      </c>
    </row>
    <row r="588">
      <c r="A588" s="7" t="inlineStr">
        <is>
          <t>Annual Newsletter Strategy &amp; Planning</t>
        </is>
      </c>
      <c r="B588" s="8" t="inlineStr">
        <is>
          <t>Package</t>
        </is>
      </c>
      <c r="C588" s="8" t="n">
        <v>1</v>
      </c>
      <c r="D588" s="25" t="n">
        <v>15000</v>
      </c>
      <c r="E588" s="26">
        <f>C588*D588</f>
        <v/>
      </c>
      <c r="F588" s="27" t="inlineStr">
        <is>
          <t>Content strategy, editorial calendar, themes alignment</t>
        </is>
      </c>
    </row>
    <row r="589">
      <c r="A589" s="11" t="inlineStr">
        <is>
          <t>Subtotal (Before Commission)</t>
        </is>
      </c>
      <c r="B589" s="15" t="n"/>
      <c r="C589" s="15" t="n"/>
      <c r="D589" s="15" t="n"/>
      <c r="E589" s="13">
        <f>SUM(E581:E588)</f>
        <v/>
      </c>
      <c r="F589" s="15" t="n"/>
    </row>
    <row r="590">
      <c r="A590" s="11" t="inlineStr">
        <is>
          <t>Agency Commission (15%)</t>
        </is>
      </c>
      <c r="B590" s="12" t="inlineStr">
        <is>
          <t>15%</t>
        </is>
      </c>
      <c r="C590" s="15" t="n"/>
      <c r="D590" s="15" t="n"/>
      <c r="E590" s="13">
        <f>E589*0.15</f>
        <v/>
      </c>
      <c r="F590" s="28" t="inlineStr">
        <is>
          <t>Agency management, planning &amp; execution fee</t>
        </is>
      </c>
    </row>
    <row r="591">
      <c r="A591" s="29" t="inlineStr">
        <is>
          <t>▶ ANNUAL: 52 Weekly Internal Newsletters – TOTAL</t>
        </is>
      </c>
      <c r="B591" s="29" t="n"/>
      <c r="C591" s="29" t="n"/>
      <c r="D591" s="29" t="n"/>
      <c r="E591" s="30">
        <f>E589+E590</f>
        <v/>
      </c>
      <c r="F591" s="29" t="n"/>
    </row>
    <row r="594">
      <c r="A594" s="1" t="inlineStr">
        <is>
          <t>QUARTERLY &amp; ANNUAL TOTALS</t>
        </is>
      </c>
    </row>
    <row r="595">
      <c r="A595" s="33" t="inlineStr">
        <is>
          <t>Q1 TOTAL</t>
        </is>
      </c>
      <c r="B595" s="33" t="n"/>
      <c r="C595" s="33" t="n"/>
      <c r="D595" s="33" t="n"/>
      <c r="E595" s="34">
        <f>E24+E38+E53+E67+E81+E94+E106+E119+E132</f>
        <v/>
      </c>
      <c r="F595" s="33" t="inlineStr">
        <is>
          <t>9 events</t>
        </is>
      </c>
    </row>
    <row r="596">
      <c r="A596" s="33" t="inlineStr">
        <is>
          <t>Q2 TOTAL</t>
        </is>
      </c>
      <c r="B596" s="33" t="n"/>
      <c r="C596" s="33" t="n"/>
      <c r="D596" s="33" t="n"/>
      <c r="E596" s="34">
        <f>E150+E165+E177+E190+E204+E217+E228+E243</f>
        <v/>
      </c>
      <c r="F596" s="33" t="inlineStr">
        <is>
          <t>8 events</t>
        </is>
      </c>
    </row>
    <row r="597">
      <c r="A597" s="33" t="inlineStr">
        <is>
          <t>Q3 TOTAL</t>
        </is>
      </c>
      <c r="B597" s="33" t="n"/>
      <c r="C597" s="33" t="n"/>
      <c r="D597" s="33" t="n"/>
      <c r="E597" s="34">
        <f>E262+E275+E289+E302+E314+E327+E345+E359</f>
        <v/>
      </c>
      <c r="F597" s="33" t="inlineStr">
        <is>
          <t>8 events</t>
        </is>
      </c>
    </row>
    <row r="598">
      <c r="A598" s="33" t="inlineStr">
        <is>
          <t>Q4 TOTAL</t>
        </is>
      </c>
      <c r="B598" s="33" t="n"/>
      <c r="C598" s="33" t="n"/>
      <c r="D598" s="33" t="n"/>
      <c r="E598" s="34">
        <f>E373+E387+E401+E414+E428+E441+E455+E469+E480+E492+E504+E517+E531+E545+E559+E575</f>
        <v/>
      </c>
      <c r="F598" s="33" t="inlineStr">
        <is>
          <t>16 events</t>
        </is>
      </c>
    </row>
    <row r="599">
      <c r="A599" s="33" t="inlineStr">
        <is>
          <t>52 WEEKLY NEWSLETTERS TOTAL</t>
        </is>
      </c>
      <c r="B599" s="33" t="n"/>
      <c r="C599" s="33" t="n"/>
      <c r="D599" s="33" t="n"/>
      <c r="E599" s="34">
        <f>E591</f>
        <v/>
      </c>
      <c r="F599" s="33" t="inlineStr">
        <is>
          <t>52 issues / year</t>
        </is>
      </c>
    </row>
    <row r="601">
      <c r="A601" s="35" t="inlineStr">
        <is>
          <t>ALL EVENTS + NEWSLETTERS SUBTOTAL (Excl. Sports)</t>
        </is>
      </c>
      <c r="B601" s="35" t="n"/>
      <c r="C601" s="35" t="n"/>
      <c r="D601" s="35" t="n"/>
      <c r="E601" s="36">
        <f>E595+E596+E597+E598+E599</f>
        <v/>
      </c>
      <c r="F601" s="35" t="n"/>
    </row>
    <row r="603">
      <c r="A603" s="11" t="inlineStr">
        <is>
          <t>Sports Events Total</t>
        </is>
      </c>
      <c r="B603" s="15" t="n"/>
      <c r="C603" s="15" t="n"/>
      <c r="D603" s="15" t="n"/>
      <c r="E603" s="13">
        <f>'Sports Budget'!E2</f>
        <v/>
      </c>
      <c r="F603" s="37" t="inlineStr">
        <is>
          <t>← Linked from Sports Budget sheet</t>
        </is>
      </c>
    </row>
    <row r="605">
      <c r="A605" s="35" t="inlineStr">
        <is>
          <t>GRAND TOTAL (Excluding VAT)</t>
        </is>
      </c>
      <c r="B605" s="35" t="n"/>
      <c r="C605" s="35" t="n"/>
      <c r="D605" s="35" t="n"/>
      <c r="E605" s="36">
        <f>E601+E603</f>
        <v/>
      </c>
      <c r="F605" s="35" t="n"/>
    </row>
    <row r="606">
      <c r="A606" s="11" t="inlineStr">
        <is>
          <t>VAT (15%)</t>
        </is>
      </c>
      <c r="B606" s="15" t="n"/>
      <c r="C606" s="15" t="n"/>
      <c r="D606" s="15" t="n"/>
      <c r="E606" s="13">
        <f>E605*0.15</f>
        <v/>
      </c>
      <c r="F606" s="15" t="n"/>
    </row>
    <row r="607">
      <c r="A607" s="38" t="inlineStr">
        <is>
          <t>★ GRAND TOTAL (Including 15% VAT)</t>
        </is>
      </c>
      <c r="B607" s="38" t="n"/>
      <c r="C607" s="38" t="n"/>
      <c r="D607" s="38" t="n"/>
      <c r="E607" s="39">
        <f>E605+E606</f>
        <v/>
      </c>
      <c r="F607" s="38" t="n"/>
    </row>
    <row r="609">
      <c r="A609" s="40" t="inlineStr">
        <is>
          <t>With 10% Contingency Reserve</t>
        </is>
      </c>
      <c r="B609" s="41" t="n"/>
      <c r="C609" s="41" t="n"/>
      <c r="D609" s="41" t="n"/>
      <c r="E609" s="42">
        <f>E607*1.1</f>
        <v/>
      </c>
      <c r="F609" s="41" t="n"/>
    </row>
  </sheetData>
  <mergeCells count="50">
    <mergeCell ref="A363:F363"/>
    <mergeCell ref="A547:F547"/>
    <mergeCell ref="A316:F316"/>
    <mergeCell ref="A277:F277"/>
    <mergeCell ref="A246:F246"/>
    <mergeCell ref="A519:F519"/>
    <mergeCell ref="A108:F108"/>
    <mergeCell ref="A264:F264"/>
    <mergeCell ref="A375:F375"/>
    <mergeCell ref="A136:F136"/>
    <mergeCell ref="A578:F578"/>
    <mergeCell ref="A26:F26"/>
    <mergeCell ref="A192:F192"/>
    <mergeCell ref="A443:F443"/>
    <mergeCell ref="A55:F55"/>
    <mergeCell ref="A179:F179"/>
    <mergeCell ref="A2:F2"/>
    <mergeCell ref="A533:F533"/>
    <mergeCell ref="A247:F247"/>
    <mergeCell ref="A5:F5"/>
    <mergeCell ref="A219:F219"/>
    <mergeCell ref="A135:F135"/>
    <mergeCell ref="A579:F579"/>
    <mergeCell ref="A206:F206"/>
    <mergeCell ref="A96:F96"/>
    <mergeCell ref="A482:F482"/>
    <mergeCell ref="A389:F389"/>
    <mergeCell ref="A152:F152"/>
    <mergeCell ref="A416:F416"/>
    <mergeCell ref="A121:F121"/>
    <mergeCell ref="A494:F494"/>
    <mergeCell ref="A230:F230"/>
    <mergeCell ref="A594:F594"/>
    <mergeCell ref="A506:F506"/>
    <mergeCell ref="A362:F362"/>
    <mergeCell ref="A471:F471"/>
    <mergeCell ref="A347:F347"/>
    <mergeCell ref="A329:F329"/>
    <mergeCell ref="A40:F40"/>
    <mergeCell ref="A83:F83"/>
    <mergeCell ref="A167:F167"/>
    <mergeCell ref="A403:F403"/>
    <mergeCell ref="A304:F304"/>
    <mergeCell ref="A291:F291"/>
    <mergeCell ref="A1:F1"/>
    <mergeCell ref="A430:F430"/>
    <mergeCell ref="A457:F457"/>
    <mergeCell ref="A6:F6"/>
    <mergeCell ref="A561:F561"/>
    <mergeCell ref="A69:F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D6A4F"/>
    <outlinePr summaryBelow="1" summaryRight="1"/>
    <pageSetUpPr/>
  </sheetPr>
  <dimension ref="A1:F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42" customWidth="1" min="1" max="1"/>
    <col width="16" customWidth="1" min="2" max="2"/>
    <col width="8" customWidth="1" min="3" max="3"/>
    <col width="18" customWidth="1" min="4" max="4"/>
    <col width="20" customWidth="1" min="5" max="5"/>
    <col width="50" customWidth="1" min="6" max="6"/>
  </cols>
  <sheetData>
    <row r="1">
      <c r="A1" s="1" t="inlineStr">
        <is>
          <t>SERA 2026 — SPORTS EVENTS BUDGET</t>
        </is>
      </c>
    </row>
    <row r="2">
      <c r="A2" s="19" t="inlineStr">
        <is>
          <t>SPORTS GRAND TOTAL (inc. 15% Commission)</t>
        </is>
      </c>
      <c r="B2" s="19" t="n"/>
      <c r="C2" s="19" t="n"/>
      <c r="D2" s="19" t="n"/>
      <c r="E2" s="20">
        <f>E30+E54+E73</f>
        <v/>
      </c>
      <c r="F2" s="19" t="n"/>
    </row>
    <row r="4">
      <c r="A4" s="21" t="inlineStr">
        <is>
          <t>FOOTBALL TOURNAMENT | 10 Teams x 15 Players = 150 Players | Men Only | 3 Weekends (6 match days)</t>
        </is>
      </c>
    </row>
    <row r="5">
      <c r="A5" s="3" t="inlineStr">
        <is>
          <t>Cost Item</t>
        </is>
      </c>
      <c r="B5" s="3" t="inlineStr">
        <is>
          <t>Unit</t>
        </is>
      </c>
      <c r="C5" s="3" t="inlineStr">
        <is>
          <t>Qty</t>
        </is>
      </c>
      <c r="D5" s="3" t="inlineStr">
        <is>
          <t>Unit Price (SAR)</t>
        </is>
      </c>
      <c r="E5" s="3" t="inlineStr">
        <is>
          <t>Total (SAR)</t>
        </is>
      </c>
      <c r="F5" s="3" t="inlineStr">
        <is>
          <t>Notes</t>
        </is>
      </c>
    </row>
    <row r="6">
      <c r="A6" s="12" t="inlineStr">
        <is>
          <t>Football Pitch Rental (2 pitches)</t>
        </is>
      </c>
      <c r="B6" s="12" t="inlineStr">
        <is>
          <t>Per day</t>
        </is>
      </c>
      <c r="C6" s="12" t="n">
        <v>6</v>
      </c>
      <c r="D6" s="43" t="n">
        <v>7000</v>
      </c>
      <c r="E6" s="18">
        <f>C6*D6</f>
        <v/>
      </c>
      <c r="F6" s="28" t="inlineStr">
        <is>
          <t>6 match days, 2 parallel pitches</t>
        </is>
      </c>
    </row>
    <row r="7">
      <c r="A7" s="44" t="inlineStr">
        <is>
          <t>Team Jerseys (Numbered + SERA logo)</t>
        </is>
      </c>
      <c r="B7" s="44" t="inlineStr">
        <is>
          <t>Per set of 15</t>
        </is>
      </c>
      <c r="C7" s="44" t="n">
        <v>10</v>
      </c>
      <c r="D7" s="45" t="n">
        <v>2800</v>
      </c>
      <c r="E7" s="46">
        <f>C7*D7</f>
        <v/>
      </c>
      <c r="F7" s="47" t="inlineStr">
        <is>
          <t>10 teams x 15 jerseys, unique colors</t>
        </is>
      </c>
    </row>
    <row r="8">
      <c r="A8" s="12" t="inlineStr">
        <is>
          <t>Tournament Match Balls (Official)</t>
        </is>
      </c>
      <c r="B8" s="12" t="inlineStr">
        <is>
          <t>Per ball</t>
        </is>
      </c>
      <c r="C8" s="12" t="n">
        <v>15</v>
      </c>
      <c r="D8" s="43" t="n">
        <v>180</v>
      </c>
      <c r="E8" s="18">
        <f>C8*D8</f>
        <v/>
      </c>
      <c r="F8" s="28" t="inlineStr">
        <is>
          <t>Official match balls + spares</t>
        </is>
      </c>
    </row>
    <row r="9">
      <c r="A9" s="44" t="inlineStr">
        <is>
          <t>Training Equipment (Cones, bibs, etc.)</t>
        </is>
      </c>
      <c r="B9" s="44" t="inlineStr">
        <is>
          <t>Package</t>
        </is>
      </c>
      <c r="C9" s="44" t="n">
        <v>1</v>
      </c>
      <c r="D9" s="45" t="n">
        <v>2000</v>
      </c>
      <c r="E9" s="46">
        <f>C9*D9</f>
        <v/>
      </c>
      <c r="F9" s="47" t="inlineStr">
        <is>
          <t>Shared training equipment</t>
        </is>
      </c>
    </row>
    <row r="10">
      <c r="A10" s="12" t="inlineStr">
        <is>
          <t>Main Referees</t>
        </is>
      </c>
      <c r="B10" s="12" t="inlineStr">
        <is>
          <t>Per match</t>
        </is>
      </c>
      <c r="C10" s="12" t="n">
        <v>15</v>
      </c>
      <c r="D10" s="43" t="n">
        <v>500</v>
      </c>
      <c r="E10" s="18">
        <f>C10*D10</f>
        <v/>
      </c>
      <c r="F10" s="48" t="inlineStr">
        <is>
          <t>[NOTE] Riyadh-based Saudi FA certified – no travel</t>
        </is>
      </c>
    </row>
    <row r="11">
      <c r="A11" s="44" t="inlineStr">
        <is>
          <t>Assistant Referees (Linesmen)</t>
        </is>
      </c>
      <c r="B11" s="44" t="inlineStr">
        <is>
          <t>Per match</t>
        </is>
      </c>
      <c r="C11" s="44" t="n">
        <v>15</v>
      </c>
      <c r="D11" s="45" t="n">
        <v>300</v>
      </c>
      <c r="E11" s="46">
        <f>C11*D11</f>
        <v/>
      </c>
      <c r="F11" s="47" t="inlineStr">
        <is>
          <t>2 per match</t>
        </is>
      </c>
    </row>
    <row r="12">
      <c r="A12" s="12" t="inlineStr">
        <is>
          <t>Tournament Coordinator</t>
        </is>
      </c>
      <c r="B12" s="12" t="inlineStr">
        <is>
          <t>Per tournament</t>
        </is>
      </c>
      <c r="C12" s="12" t="n">
        <v>1</v>
      </c>
      <c r="D12" s="43" t="n">
        <v>8000</v>
      </c>
      <c r="E12" s="18">
        <f>C12*D12</f>
        <v/>
      </c>
      <c r="F12" s="28" t="inlineStr">
        <is>
          <t>Full tournament management + bracket</t>
        </is>
      </c>
    </row>
    <row r="13">
      <c r="A13" s="44" t="inlineStr">
        <is>
          <t>First Aid / Medical Staff</t>
        </is>
      </c>
      <c r="B13" s="44" t="inlineStr">
        <is>
          <t>Per day</t>
        </is>
      </c>
      <c r="C13" s="44" t="n">
        <v>6</v>
      </c>
      <c r="D13" s="45" t="n">
        <v>1000</v>
      </c>
      <c r="E13" s="46">
        <f>C13*D13</f>
        <v/>
      </c>
      <c r="F13" s="47" t="inlineStr">
        <is>
          <t>On-site medical support – mandatory</t>
        </is>
      </c>
    </row>
    <row r="14">
      <c r="A14" s="12" t="inlineStr">
        <is>
          <t>Champion Trophy (Large Crystal)</t>
        </is>
      </c>
      <c r="B14" s="12" t="inlineStr">
        <is>
          <t>Trophy</t>
        </is>
      </c>
      <c r="C14" s="12" t="n">
        <v>1</v>
      </c>
      <c r="D14" s="43" t="n">
        <v>4500</v>
      </c>
      <c r="E14" s="18">
        <f>C14*D14</f>
        <v/>
      </c>
      <c r="F14" s="28" t="inlineStr">
        <is>
          <t>Premium crystal trophy</t>
        </is>
      </c>
    </row>
    <row r="15">
      <c r="A15" s="44" t="inlineStr">
        <is>
          <t>Runner-Up Trophy</t>
        </is>
      </c>
      <c r="B15" s="44" t="inlineStr">
        <is>
          <t>Trophy</t>
        </is>
      </c>
      <c r="C15" s="44" t="n">
        <v>1</v>
      </c>
      <c r="D15" s="45" t="n">
        <v>2500</v>
      </c>
      <c r="E15" s="46">
        <f>C15*D15</f>
        <v/>
      </c>
      <c r="F15" s="47" t="inlineStr"/>
    </row>
    <row r="16">
      <c r="A16" s="12" t="inlineStr">
        <is>
          <t>Third Place Trophy</t>
        </is>
      </c>
      <c r="B16" s="12" t="inlineStr">
        <is>
          <t>Trophy</t>
        </is>
      </c>
      <c r="C16" s="12" t="n">
        <v>1</v>
      </c>
      <c r="D16" s="43" t="n">
        <v>2000</v>
      </c>
      <c r="E16" s="18">
        <f>C16*D16</f>
        <v/>
      </c>
      <c r="F16" s="28" t="inlineStr"/>
    </row>
    <row r="17">
      <c r="A17" s="44" t="inlineStr">
        <is>
          <t>MVP Award</t>
        </is>
      </c>
      <c r="B17" s="44" t="inlineStr">
        <is>
          <t>Award</t>
        </is>
      </c>
      <c r="C17" s="44" t="n">
        <v>1</v>
      </c>
      <c r="D17" s="45" t="n">
        <v>600</v>
      </c>
      <c r="E17" s="46">
        <f>C17*D17</f>
        <v/>
      </c>
      <c r="F17" s="47" t="inlineStr"/>
    </row>
    <row r="18">
      <c r="A18" s="12" t="inlineStr">
        <is>
          <t>Top Scorer Award (Golden Boot)</t>
        </is>
      </c>
      <c r="B18" s="12" t="inlineStr">
        <is>
          <t>Award</t>
        </is>
      </c>
      <c r="C18" s="12" t="n">
        <v>1</v>
      </c>
      <c r="D18" s="43" t="n">
        <v>600</v>
      </c>
      <c r="E18" s="18">
        <f>C18*D18</f>
        <v/>
      </c>
      <c r="F18" s="28" t="inlineStr"/>
    </row>
    <row r="19">
      <c r="A19" s="44" t="inlineStr">
        <is>
          <t>Best Goalkeeper Award</t>
        </is>
      </c>
      <c r="B19" s="44" t="inlineStr">
        <is>
          <t>Award</t>
        </is>
      </c>
      <c r="C19" s="44" t="n">
        <v>1</v>
      </c>
      <c r="D19" s="45" t="n">
        <v>600</v>
      </c>
      <c r="E19" s="46">
        <f>C19*D19</f>
        <v/>
      </c>
      <c r="F19" s="47" t="inlineStr"/>
    </row>
    <row r="20">
      <c r="A20" s="12" t="inlineStr">
        <is>
          <t>Best Player per Team Award</t>
        </is>
      </c>
      <c r="B20" s="12" t="inlineStr">
        <is>
          <t>Award</t>
        </is>
      </c>
      <c r="C20" s="12" t="n">
        <v>10</v>
      </c>
      <c r="D20" s="43" t="n">
        <v>600</v>
      </c>
      <c r="E20" s="18">
        <f>C20*D20</f>
        <v/>
      </c>
      <c r="F20" s="48" t="inlineStr">
        <is>
          <t>[NOTE] Optional – 1 per team recognition</t>
        </is>
      </c>
    </row>
    <row r="21">
      <c r="A21" s="44" t="inlineStr">
        <is>
          <t>Medals (Top 3 teams)</t>
        </is>
      </c>
      <c r="B21" s="44" t="inlineStr">
        <is>
          <t>Per medal</t>
        </is>
      </c>
      <c r="C21" s="44" t="n">
        <v>45</v>
      </c>
      <c r="D21" s="45" t="n">
        <v>60</v>
      </c>
      <c r="E21" s="46">
        <f>C21*D21</f>
        <v/>
      </c>
      <c r="F21" s="47" t="inlineStr">
        <is>
          <t>15 players x 3 teams</t>
        </is>
      </c>
    </row>
    <row r="22">
      <c r="A22" s="12" t="inlineStr">
        <is>
          <t>Player Refreshments</t>
        </is>
      </c>
      <c r="B22" s="12" t="inlineStr">
        <is>
          <t>Per day</t>
        </is>
      </c>
      <c r="C22" s="12" t="n">
        <v>6</v>
      </c>
      <c r="D22" s="43" t="n">
        <v>2000</v>
      </c>
      <c r="E22" s="18">
        <f>C22*D22</f>
        <v/>
      </c>
      <c r="F22" s="28" t="inlineStr">
        <is>
          <t>Water, isotonic drinks, fruits, snacks</t>
        </is>
      </c>
    </row>
    <row r="23">
      <c r="A23" s="44" t="inlineStr">
        <is>
          <t>Post-Match Light Meals</t>
        </is>
      </c>
      <c r="B23" s="44" t="inlineStr">
        <is>
          <t>Per day</t>
        </is>
      </c>
      <c r="C23" s="44" t="n">
        <v>6</v>
      </c>
      <c r="D23" s="45" t="n">
        <v>1200</v>
      </c>
      <c r="E23" s="46">
        <f>C23*D23</f>
        <v/>
      </c>
      <c r="F23" s="49" t="inlineStr">
        <is>
          <t>[NOTE] Optional – post-match meal for players</t>
        </is>
      </c>
    </row>
    <row r="24">
      <c r="A24" s="12" t="inlineStr">
        <is>
          <t>Sports Photographer</t>
        </is>
      </c>
      <c r="B24" s="12" t="inlineStr">
        <is>
          <t>Per day</t>
        </is>
      </c>
      <c r="C24" s="12" t="n">
        <v>6</v>
      </c>
      <c r="D24" s="43" t="n">
        <v>2000</v>
      </c>
      <c r="E24" s="18">
        <f>C24*D24</f>
        <v/>
      </c>
      <c r="F24" s="28" t="inlineStr">
        <is>
          <t>Match + ceremony photos</t>
        </is>
      </c>
    </row>
    <row r="25">
      <c r="A25" s="44" t="inlineStr">
        <is>
          <t>Digital Scoreboard Display</t>
        </is>
      </c>
      <c r="B25" s="44" t="inlineStr">
        <is>
          <t>Per day</t>
        </is>
      </c>
      <c r="C25" s="44" t="n">
        <v>6</v>
      </c>
      <c r="D25" s="45" t="n">
        <v>600</v>
      </c>
      <c r="E25" s="46">
        <f>C25*D25</f>
        <v/>
      </c>
      <c r="F25" s="49" t="inlineStr">
        <is>
          <t>[NOTE] Digital display if venue supports</t>
        </is>
      </c>
    </row>
    <row r="26">
      <c r="A26" s="12" t="inlineStr">
        <is>
          <t>Social Media Tournament Coverage</t>
        </is>
      </c>
      <c r="B26" s="12" t="inlineStr">
        <is>
          <t>Package</t>
        </is>
      </c>
      <c r="C26" s="12" t="n">
        <v>1</v>
      </c>
      <c r="D26" s="43" t="n">
        <v>3000</v>
      </c>
      <c r="E26" s="18">
        <f>C26*D26</f>
        <v/>
      </c>
      <c r="F26" s="28" t="inlineStr">
        <is>
          <t>Live updates, stories, highlights</t>
        </is>
      </c>
    </row>
    <row r="27">
      <c r="A27" s="44" t="inlineStr">
        <is>
          <t>Opening Ceremony</t>
        </is>
      </c>
      <c r="B27" s="44" t="inlineStr">
        <is>
          <t>Package</t>
        </is>
      </c>
      <c r="C27" s="44" t="n">
        <v>1</v>
      </c>
      <c r="D27" s="45" t="n">
        <v>12000</v>
      </c>
      <c r="E27" s="46">
        <f>C27*D27</f>
        <v/>
      </c>
      <c r="F27" s="47" t="inlineStr">
        <is>
          <t>Stage, national anthem, first-kick ceremony</t>
        </is>
      </c>
    </row>
    <row r="28">
      <c r="A28" s="11" t="inlineStr">
        <is>
          <t>Football – Subtotal (Before Commission)</t>
        </is>
      </c>
      <c r="B28" s="15" t="n"/>
      <c r="C28" s="15" t="n"/>
      <c r="D28" s="15" t="n"/>
      <c r="E28" s="13">
        <f>SUM(E6:E27)</f>
        <v/>
      </c>
      <c r="F28" s="15" t="n"/>
    </row>
    <row r="29">
      <c r="A29" s="11" t="inlineStr">
        <is>
          <t>Agency Commission (15%)</t>
        </is>
      </c>
      <c r="B29" s="15" t="n"/>
      <c r="C29" s="15" t="n"/>
      <c r="D29" s="15" t="n"/>
      <c r="E29" s="13">
        <f>E28*0.15</f>
        <v/>
      </c>
      <c r="F29" s="15" t="n"/>
    </row>
    <row r="30">
      <c r="A30" s="29" t="inlineStr">
        <is>
          <t>▶ FOOTBALL TOURNAMENT – TOTAL</t>
        </is>
      </c>
      <c r="B30" s="29" t="n"/>
      <c r="C30" s="29" t="n"/>
      <c r="D30" s="29" t="n"/>
      <c r="E30" s="30">
        <f>E28+E29</f>
        <v/>
      </c>
      <c r="F30" s="29" t="n"/>
    </row>
    <row r="33">
      <c r="A33" s="21" t="inlineStr">
        <is>
          <t>PADEL TOURNAMENT | 10 Teams (Doubles) = 20 Players | Men Only | 1-2 Weekends</t>
        </is>
      </c>
    </row>
    <row r="34">
      <c r="A34" s="3" t="inlineStr">
        <is>
          <t>Cost Item</t>
        </is>
      </c>
      <c r="B34" s="3" t="inlineStr">
        <is>
          <t>Unit</t>
        </is>
      </c>
      <c r="C34" s="3" t="inlineStr">
        <is>
          <t>Qty</t>
        </is>
      </c>
      <c r="D34" s="3" t="inlineStr">
        <is>
          <t>Unit Price (SAR)</t>
        </is>
      </c>
      <c r="E34" s="3" t="inlineStr">
        <is>
          <t>Total (SAR)</t>
        </is>
      </c>
      <c r="F34" s="3" t="inlineStr">
        <is>
          <t>Notes</t>
        </is>
      </c>
    </row>
    <row r="35">
      <c r="A35" s="12" t="inlineStr">
        <is>
          <t>Padel Court Rental</t>
        </is>
      </c>
      <c r="B35" s="12" t="inlineStr">
        <is>
          <t>Per 90-min slot</t>
        </is>
      </c>
      <c r="C35" s="12" t="n">
        <v>25</v>
      </c>
      <c r="D35" s="43" t="n">
        <v>480</v>
      </c>
      <c r="E35" s="18">
        <f>C35*D35</f>
        <v/>
      </c>
      <c r="F35" s="48" t="inlineStr">
        <is>
          <t>25 matches, [NOTE] Group booking discount may apply</t>
        </is>
      </c>
    </row>
    <row r="36">
      <c r="A36" s="44" t="inlineStr">
        <is>
          <t>Tournament Padel Balls</t>
        </is>
      </c>
      <c r="B36" s="44" t="inlineStr">
        <is>
          <t>Dozen</t>
        </is>
      </c>
      <c r="C36" s="44" t="n">
        <v>6</v>
      </c>
      <c r="D36" s="45" t="n">
        <v>200</v>
      </c>
      <c r="E36" s="46">
        <f>C36*D36</f>
        <v/>
      </c>
      <c r="F36" s="47" t="inlineStr">
        <is>
          <t>Fresh balls per round</t>
        </is>
      </c>
    </row>
    <row r="37">
      <c r="A37" s="12" t="inlineStr">
        <is>
          <t>Branded Player Towels</t>
        </is>
      </c>
      <c r="B37" s="12" t="inlineStr">
        <is>
          <t>Per player</t>
        </is>
      </c>
      <c r="C37" s="12" t="n">
        <v>20</v>
      </c>
      <c r="D37" s="43" t="n">
        <v>50</v>
      </c>
      <c r="E37" s="18">
        <f>C37*D37</f>
        <v/>
      </c>
      <c r="F37" s="28" t="inlineStr">
        <is>
          <t>Tournament souvenir</t>
        </is>
      </c>
    </row>
    <row r="38">
      <c r="A38" s="44" t="inlineStr">
        <is>
          <t>Branded Water Bottles (Reusable)</t>
        </is>
      </c>
      <c r="B38" s="44" t="inlineStr">
        <is>
          <t>Per player</t>
        </is>
      </c>
      <c r="C38" s="44" t="n">
        <v>20</v>
      </c>
      <c r="D38" s="45" t="n">
        <v>40</v>
      </c>
      <c r="E38" s="46">
        <f>C38*D38</f>
        <v/>
      </c>
      <c r="F38" s="47" t="inlineStr">
        <is>
          <t>Branded reusable</t>
        </is>
      </c>
    </row>
    <row r="39">
      <c r="A39" s="12" t="inlineStr">
        <is>
          <t>Referees / Court Coordinators</t>
        </is>
      </c>
      <c r="B39" s="12" t="inlineStr">
        <is>
          <t>Per day</t>
        </is>
      </c>
      <c r="C39" s="12" t="n">
        <v>4</v>
      </c>
      <c r="D39" s="43" t="n">
        <v>700</v>
      </c>
      <c r="E39" s="18">
        <f>C39*D39</f>
        <v/>
      </c>
      <c r="F39" s="48" t="inlineStr">
        <is>
          <t>[NOTE] Riyadh-based – no travel</t>
        </is>
      </c>
    </row>
    <row r="40">
      <c r="A40" s="44" t="inlineStr">
        <is>
          <t>Tournament Coordinator</t>
        </is>
      </c>
      <c r="B40" s="44" t="inlineStr">
        <is>
          <t>Package</t>
        </is>
      </c>
      <c r="C40" s="44" t="n">
        <v>1</v>
      </c>
      <c r="D40" s="45" t="n">
        <v>5000</v>
      </c>
      <c r="E40" s="46">
        <f>C40*D40</f>
        <v/>
      </c>
      <c r="F40" s="47" t="inlineStr">
        <is>
          <t>Bracket management + logistics</t>
        </is>
      </c>
    </row>
    <row r="41">
      <c r="A41" s="12" t="inlineStr">
        <is>
          <t>Champion Trophy (Team)</t>
        </is>
      </c>
      <c r="B41" s="12" t="inlineStr">
        <is>
          <t>Trophy</t>
        </is>
      </c>
      <c r="C41" s="12" t="n">
        <v>1</v>
      </c>
      <c r="D41" s="43" t="n">
        <v>3000</v>
      </c>
      <c r="E41" s="18">
        <f>C41*D41</f>
        <v/>
      </c>
      <c r="F41" s="28" t="inlineStr"/>
    </row>
    <row r="42">
      <c r="A42" s="44" t="inlineStr">
        <is>
          <t>Runner-Up Trophy</t>
        </is>
      </c>
      <c r="B42" s="44" t="inlineStr">
        <is>
          <t>Trophy</t>
        </is>
      </c>
      <c r="C42" s="44" t="n">
        <v>1</v>
      </c>
      <c r="D42" s="45" t="n">
        <v>2000</v>
      </c>
      <c r="E42" s="46">
        <f>C42*D42</f>
        <v/>
      </c>
      <c r="F42" s="47" t="inlineStr"/>
    </row>
    <row r="43">
      <c r="A43" s="12" t="inlineStr">
        <is>
          <t>MVP Award</t>
        </is>
      </c>
      <c r="B43" s="12" t="inlineStr">
        <is>
          <t>Award</t>
        </is>
      </c>
      <c r="C43" s="12" t="n">
        <v>1</v>
      </c>
      <c r="D43" s="43" t="n">
        <v>500</v>
      </c>
      <c r="E43" s="18">
        <f>C43*D43</f>
        <v/>
      </c>
      <c r="F43" s="28" t="inlineStr"/>
    </row>
    <row r="44">
      <c r="A44" s="44" t="inlineStr">
        <is>
          <t>Best Match Award</t>
        </is>
      </c>
      <c r="B44" s="44" t="inlineStr">
        <is>
          <t>Award</t>
        </is>
      </c>
      <c r="C44" s="44" t="n">
        <v>1</v>
      </c>
      <c r="D44" s="45" t="n">
        <v>500</v>
      </c>
      <c r="E44" s="46">
        <f>C44*D44</f>
        <v/>
      </c>
      <c r="F44" s="47" t="inlineStr"/>
    </row>
    <row r="45">
      <c r="A45" s="12" t="inlineStr">
        <is>
          <t>Fair Play Award</t>
        </is>
      </c>
      <c r="B45" s="12" t="inlineStr">
        <is>
          <t>Award</t>
        </is>
      </c>
      <c r="C45" s="12" t="n">
        <v>1</v>
      </c>
      <c r="D45" s="43" t="n">
        <v>500</v>
      </c>
      <c r="E45" s="18">
        <f>C45*D45</f>
        <v/>
      </c>
      <c r="F45" s="28" t="inlineStr"/>
    </row>
    <row r="46">
      <c r="A46" s="44" t="inlineStr">
        <is>
          <t>Medals (Top 2 teams)</t>
        </is>
      </c>
      <c r="B46" s="44" t="inlineStr">
        <is>
          <t>Per medal</t>
        </is>
      </c>
      <c r="C46" s="44" t="n">
        <v>4</v>
      </c>
      <c r="D46" s="45" t="n">
        <v>60</v>
      </c>
      <c r="E46" s="46">
        <f>C46*D46</f>
        <v/>
      </c>
      <c r="F46" s="47" t="inlineStr">
        <is>
          <t>2 players x 2 teams</t>
        </is>
      </c>
    </row>
    <row r="47">
      <c r="A47" s="12" t="inlineStr">
        <is>
          <t>Player Refreshments</t>
        </is>
      </c>
      <c r="B47" s="12" t="inlineStr">
        <is>
          <t>Per day</t>
        </is>
      </c>
      <c r="C47" s="12" t="n">
        <v>4</v>
      </c>
      <c r="D47" s="43" t="n">
        <v>1000</v>
      </c>
      <c r="E47" s="18">
        <f>C47*D47</f>
        <v/>
      </c>
      <c r="F47" s="28" t="inlineStr">
        <is>
          <t>Water, isotonic, fruits</t>
        </is>
      </c>
    </row>
    <row r="48">
      <c r="A48" s="44" t="inlineStr">
        <is>
          <t>Light Snacks &amp; Post-Match Food</t>
        </is>
      </c>
      <c r="B48" s="44" t="inlineStr">
        <is>
          <t>Per day</t>
        </is>
      </c>
      <c r="C48" s="44" t="n">
        <v>4</v>
      </c>
      <c r="D48" s="45" t="n">
        <v>700</v>
      </c>
      <c r="E48" s="46">
        <f>C48*D48</f>
        <v/>
      </c>
      <c r="F48" s="47" t="inlineStr">
        <is>
          <t>Post-match refreshments</t>
        </is>
      </c>
    </row>
    <row r="49">
      <c r="A49" s="12" t="inlineStr">
        <is>
          <t>Sports Photographer</t>
        </is>
      </c>
      <c r="B49" s="12" t="inlineStr">
        <is>
          <t>Per day</t>
        </is>
      </c>
      <c r="C49" s="12" t="n">
        <v>4</v>
      </c>
      <c r="D49" s="43" t="n">
        <v>1500</v>
      </c>
      <c r="E49" s="18">
        <f>C49*D49</f>
        <v/>
      </c>
      <c r="F49" s="28" t="inlineStr">
        <is>
          <t>Tournament coverage</t>
        </is>
      </c>
    </row>
    <row r="50">
      <c r="A50" s="44" t="inlineStr">
        <is>
          <t>Social Media Coverage</t>
        </is>
      </c>
      <c r="B50" s="44" t="inlineStr">
        <is>
          <t>Package</t>
        </is>
      </c>
      <c r="C50" s="44" t="n">
        <v>1</v>
      </c>
      <c r="D50" s="45" t="n">
        <v>2000</v>
      </c>
      <c r="E50" s="46">
        <f>C50*D50</f>
        <v/>
      </c>
      <c r="F50" s="47" t="inlineStr">
        <is>
          <t>Live updates</t>
        </is>
      </c>
    </row>
    <row r="51">
      <c r="A51" s="12" t="inlineStr">
        <is>
          <t>Awards Ceremony (Combined with Football)</t>
        </is>
      </c>
      <c r="B51" s="12" t="inlineStr">
        <is>
          <t>Package</t>
        </is>
      </c>
      <c r="C51" s="12" t="n">
        <v>1</v>
      </c>
      <c r="D51" s="43" t="n">
        <v>15000</v>
      </c>
      <c r="E51" s="18">
        <f>C51*D51</f>
        <v/>
      </c>
      <c r="F51" s="28" t="inlineStr">
        <is>
          <t>Venue, dinner, trophy presentation – combined</t>
        </is>
      </c>
    </row>
    <row r="52">
      <c r="A52" s="11" t="inlineStr">
        <is>
          <t>Padel – Subtotal (Before Commission)</t>
        </is>
      </c>
      <c r="B52" s="15" t="n"/>
      <c r="C52" s="15" t="n"/>
      <c r="D52" s="15" t="n"/>
      <c r="E52" s="13">
        <f>SUM(E35:E51)</f>
        <v/>
      </c>
      <c r="F52" s="15" t="n"/>
    </row>
    <row r="53">
      <c r="A53" s="11" t="inlineStr">
        <is>
          <t>Agency Commission (15%)</t>
        </is>
      </c>
      <c r="B53" s="15" t="n"/>
      <c r="C53" s="15" t="n"/>
      <c r="D53" s="15" t="n"/>
      <c r="E53" s="13">
        <f>E52*0.15</f>
        <v/>
      </c>
      <c r="F53" s="15" t="n"/>
    </row>
    <row r="54">
      <c r="A54" s="29" t="inlineStr">
        <is>
          <t>▶ PADEL TOURNAMENT – TOTAL</t>
        </is>
      </c>
      <c r="B54" s="29" t="n"/>
      <c r="C54" s="29" t="n"/>
      <c r="D54" s="29" t="n"/>
      <c r="E54" s="30">
        <f>E52+E53</f>
        <v/>
      </c>
      <c r="F54" s="29" t="n"/>
    </row>
    <row r="57">
      <c r="A57" s="21" t="inlineStr">
        <is>
          <t>WALKING CHALLENGE &amp; SERA QUARTERLY FRIDAY (جمعة سيرا) | 150-200 Participants | Annual Challenge + 4 Quarterly Events</t>
        </is>
      </c>
    </row>
    <row r="58">
      <c r="A58" s="3" t="inlineStr">
        <is>
          <t>Cost Item</t>
        </is>
      </c>
      <c r="B58" s="3" t="inlineStr">
        <is>
          <t>Unit</t>
        </is>
      </c>
      <c r="C58" s="3" t="inlineStr">
        <is>
          <t>Qty</t>
        </is>
      </c>
      <c r="D58" s="3" t="inlineStr">
        <is>
          <t>Unit Price (SAR)</t>
        </is>
      </c>
      <c r="E58" s="3" t="inlineStr">
        <is>
          <t>Total (SAR)</t>
        </is>
      </c>
      <c r="F58" s="3" t="inlineStr">
        <is>
          <t>Notes</t>
        </is>
      </c>
    </row>
    <row r="59">
      <c r="A59" s="12" t="inlineStr">
        <is>
          <t>Fitness Tracking App / Platform License</t>
        </is>
      </c>
      <c r="B59" s="12" t="inlineStr">
        <is>
          <t>Annual</t>
        </is>
      </c>
      <c r="C59" s="12" t="n">
        <v>1</v>
      </c>
      <c r="D59" s="43" t="n">
        <v>15000</v>
      </c>
      <c r="E59" s="18">
        <f>C59*D59</f>
        <v/>
      </c>
      <c r="F59" s="28" t="inlineStr">
        <is>
          <t>Step tracking, leaderboards, team challenges</t>
        </is>
      </c>
    </row>
    <row r="60">
      <c r="A60" s="44" t="inlineStr">
        <is>
          <t>Branded Sports Gear (T-shirts, bands)</t>
        </is>
      </c>
      <c r="B60" s="44" t="inlineStr">
        <is>
          <t>Per person</t>
        </is>
      </c>
      <c r="C60" s="44" t="n">
        <v>200</v>
      </c>
      <c r="D60" s="45" t="n">
        <v>60</v>
      </c>
      <c r="E60" s="46">
        <f>C60*D60</f>
        <v/>
      </c>
      <c r="F60" s="47" t="inlineStr">
        <is>
          <t>Branded walking challenge kit</t>
        </is>
      </c>
    </row>
    <row r="61">
      <c r="A61" s="12" t="inlineStr">
        <is>
          <t>Challenge Management &amp; Coordination</t>
        </is>
      </c>
      <c r="B61" s="12" t="inlineStr">
        <is>
          <t>Annual</t>
        </is>
      </c>
      <c r="C61" s="12" t="n">
        <v>1</v>
      </c>
      <c r="D61" s="43" t="n">
        <v>8000</v>
      </c>
      <c r="E61" s="18">
        <f>C61*D61</f>
        <v/>
      </c>
      <c r="F61" s="28" t="inlineStr">
        <is>
          <t>Full challenge administration + results</t>
        </is>
      </c>
    </row>
    <row r="62">
      <c r="A62" s="44" t="inlineStr">
        <is>
          <t>Quarterly Walking Route Planning &amp; Permits</t>
        </is>
      </c>
      <c r="B62" s="44" t="inlineStr">
        <is>
          <t>Per event</t>
        </is>
      </c>
      <c r="C62" s="44" t="n">
        <v>4</v>
      </c>
      <c r="D62" s="45" t="n">
        <v>3000</v>
      </c>
      <c r="E62" s="46">
        <f>C62*D62</f>
        <v/>
      </c>
      <c r="F62" s="47" t="inlineStr">
        <is>
          <t>Route setup, permissions, marshals</t>
        </is>
      </c>
    </row>
    <row r="63">
      <c r="A63" s="12" t="inlineStr">
        <is>
          <t>Hydration Stations (Quarterly events)</t>
        </is>
      </c>
      <c r="B63" s="12" t="inlineStr">
        <is>
          <t>Per event</t>
        </is>
      </c>
      <c r="C63" s="12" t="n">
        <v>4</v>
      </c>
      <c r="D63" s="43" t="n">
        <v>4000</v>
      </c>
      <c r="E63" s="18">
        <f>C63*D63</f>
        <v/>
      </c>
      <c r="F63" s="28" t="inlineStr">
        <is>
          <t>Water, isotonic drinks, fruits along route</t>
        </is>
      </c>
    </row>
    <row r="64">
      <c r="A64" s="44" t="inlineStr">
        <is>
          <t>First Aid Support (Quarterly events)</t>
        </is>
      </c>
      <c r="B64" s="44" t="inlineStr">
        <is>
          <t>Per event</t>
        </is>
      </c>
      <c r="C64" s="44" t="n">
        <v>4</v>
      </c>
      <c r="D64" s="45" t="n">
        <v>3000</v>
      </c>
      <c r="E64" s="46">
        <f>C64*D64</f>
        <v/>
      </c>
      <c r="F64" s="47" t="inlineStr">
        <is>
          <t>On-route medical support – mandatory</t>
        </is>
      </c>
    </row>
    <row r="65">
      <c r="A65" s="12" t="inlineStr">
        <is>
          <t>Participant Kits (Quarterly events)</t>
        </is>
      </c>
      <c r="B65" s="12" t="inlineStr">
        <is>
          <t>Per person</t>
        </is>
      </c>
      <c r="C65" s="12" t="n">
        <v>600</v>
      </c>
      <c r="D65" s="43" t="n">
        <v>40</v>
      </c>
      <c r="E65" s="18">
        <f>C65*D65</f>
        <v/>
      </c>
      <c r="F65" s="48" t="inlineStr">
        <is>
          <t>[NOTE] ~150 participants x 4 quarterly events</t>
        </is>
      </c>
    </row>
    <row r="66">
      <c r="A66" s="44" t="inlineStr">
        <is>
          <t>Photography (Quarterly events)</t>
        </is>
      </c>
      <c r="B66" s="44" t="inlineStr">
        <is>
          <t>Per event</t>
        </is>
      </c>
      <c r="C66" s="44" t="n">
        <v>4</v>
      </c>
      <c r="D66" s="45" t="n">
        <v>3000</v>
      </c>
      <c r="E66" s="46">
        <f>C66*D66</f>
        <v/>
      </c>
      <c r="F66" s="47" t="inlineStr">
        <is>
          <t>Walking event coverage</t>
        </is>
      </c>
    </row>
    <row r="67">
      <c r="A67" s="12" t="inlineStr">
        <is>
          <t>Medals &amp; Certificates (Quarterly)</t>
        </is>
      </c>
      <c r="B67" s="12" t="inlineStr">
        <is>
          <t>Per event</t>
        </is>
      </c>
      <c r="C67" s="12" t="n">
        <v>4</v>
      </c>
      <c r="D67" s="43" t="n">
        <v>5000</v>
      </c>
      <c r="E67" s="18">
        <f>C67*D67</f>
        <v/>
      </c>
      <c r="F67" s="28" t="inlineStr">
        <is>
          <t>Top finishers medals + participation certificates</t>
        </is>
      </c>
    </row>
    <row r="68">
      <c r="A68" s="44" t="inlineStr">
        <is>
          <t>Annual Challenge Grand Prizes</t>
        </is>
      </c>
      <c r="B68" s="44" t="inlineStr">
        <is>
          <t>Package</t>
        </is>
      </c>
      <c r="C68" s="44" t="n">
        <v>1</v>
      </c>
      <c r="D68" s="45" t="n">
        <v>15000</v>
      </c>
      <c r="E68" s="46">
        <f>C68*D68</f>
        <v/>
      </c>
      <c r="F68" s="47" t="inlineStr">
        <is>
          <t>Top 10 walkers prizes + team prizes</t>
        </is>
      </c>
    </row>
    <row r="69">
      <c r="A69" s="12" t="inlineStr">
        <is>
          <t>Social Media Coverage</t>
        </is>
      </c>
      <c r="B69" s="12" t="inlineStr">
        <is>
          <t>Package</t>
        </is>
      </c>
      <c r="C69" s="12" t="n">
        <v>1</v>
      </c>
      <c r="D69" s="43" t="n">
        <v>3000</v>
      </c>
      <c r="E69" s="18">
        <f>C69*D69</f>
        <v/>
      </c>
      <c r="F69" s="28" t="inlineStr">
        <is>
          <t>Challenge updates, leaderboard posts, highlights</t>
        </is>
      </c>
    </row>
    <row r="70">
      <c r="A70" s="44" t="inlineStr">
        <is>
          <t>Friday Gathering Refreshments (Quarterly)</t>
        </is>
      </c>
      <c r="B70" s="44" t="inlineStr">
        <is>
          <t>Per event</t>
        </is>
      </c>
      <c r="C70" s="44" t="n">
        <v>4</v>
      </c>
      <c r="D70" s="45" t="n">
        <v>3500</v>
      </c>
      <c r="E70" s="46">
        <f>C70*D70</f>
        <v/>
      </c>
      <c r="F70" s="49" t="inlineStr">
        <is>
          <t>[NOTE] SERA Quarterly Friday gathering refreshments</t>
        </is>
      </c>
    </row>
    <row r="71">
      <c r="A71" s="11" t="inlineStr">
        <is>
          <t>Walking &amp; Friday Events – Subtotal (Before Commission)</t>
        </is>
      </c>
      <c r="B71" s="15" t="n"/>
      <c r="C71" s="15" t="n"/>
      <c r="D71" s="15" t="n"/>
      <c r="E71" s="13">
        <f>SUM(E59:E70)</f>
        <v/>
      </c>
      <c r="F71" s="15" t="n"/>
    </row>
    <row r="72">
      <c r="A72" s="11" t="inlineStr">
        <is>
          <t>Agency Commission (15%)</t>
        </is>
      </c>
      <c r="B72" s="15" t="n"/>
      <c r="C72" s="15" t="n"/>
      <c r="D72" s="15" t="n"/>
      <c r="E72" s="13">
        <f>E71*0.15</f>
        <v/>
      </c>
      <c r="F72" s="15" t="n"/>
    </row>
    <row r="73">
      <c r="A73" s="29" t="inlineStr">
        <is>
          <t>▶ WALKING &amp; FRIDAY EVENTS – TOTAL</t>
        </is>
      </c>
      <c r="B73" s="29" t="n"/>
      <c r="C73" s="29" t="n"/>
      <c r="D73" s="29" t="n"/>
      <c r="E73" s="30">
        <f>E71+E72</f>
        <v/>
      </c>
      <c r="F73" s="29" t="n"/>
    </row>
  </sheetData>
  <mergeCells count="4">
    <mergeCell ref="A33:F33"/>
    <mergeCell ref="A1:F1"/>
    <mergeCell ref="A4:F4"/>
    <mergeCell ref="A57:F5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5D5B2"/>
    <outlinePr summaryBelow="1" summaryRight="1"/>
    <pageSetUpPr/>
  </sheetPr>
  <dimension ref="A1:D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45" customWidth="1" min="3" max="3"/>
    <col width="40" customWidth="1" min="4" max="4"/>
  </cols>
  <sheetData>
    <row r="1">
      <c r="A1" s="1" t="inlineStr">
        <is>
          <t>SERA 2026 — ASSUMPTIONS, NOTES &amp; PAYMENT TERMS</t>
        </is>
      </c>
    </row>
    <row r="3">
      <c r="A3" s="10" t="inlineStr">
        <is>
          <t>KEY ASSUMPTIONS</t>
        </is>
      </c>
    </row>
    <row r="4">
      <c r="A4" s="3" t="inlineStr">
        <is>
          <t>#</t>
        </is>
      </c>
      <c r="B4" s="3" t="inlineStr">
        <is>
          <t>Assumption</t>
        </is>
      </c>
      <c r="C4" s="3" t="inlineStr">
        <is>
          <t>Impact if Different</t>
        </is>
      </c>
      <c r="D4" s="3" t="inlineStr">
        <is>
          <t>Action Required</t>
        </is>
      </c>
    </row>
    <row r="5">
      <c r="A5" s="4" t="n">
        <v>1</v>
      </c>
      <c r="B5" s="4" t="inlineStr">
        <is>
          <t>All events in Riyadh only – no travel costs</t>
        </is>
      </c>
      <c r="C5" s="4" t="inlineStr">
        <is>
          <t>Other cities add 15-25% for travel, accommodation, logistics</t>
        </is>
      </c>
      <c r="D5" s="4" t="inlineStr">
        <is>
          <t>Confirm all events are Riyadh-based</t>
        </is>
      </c>
    </row>
    <row r="6">
      <c r="A6" s="7" t="n">
        <v>2</v>
      </c>
      <c r="B6" s="7" t="inlineStr">
        <is>
          <t>Reception events: 250-300 attendees</t>
        </is>
      </c>
      <c r="C6" s="7" t="inlineStr">
        <is>
          <t>Catering, venue, gifts scale linearly</t>
        </is>
      </c>
      <c r="D6" s="7" t="inlineStr">
        <is>
          <t>SERA to confirm headcount 2 weeks before</t>
        </is>
      </c>
    </row>
    <row r="7">
      <c r="A7" s="4" t="n">
        <v>3</v>
      </c>
      <c r="B7" s="4" t="inlineStr">
        <is>
          <t>Sports: 10 teams per sport, men only</t>
        </is>
      </c>
      <c r="C7" s="4" t="inlineStr">
        <is>
          <t>More teams = longer tournament + more jerseys/venue</t>
        </is>
      </c>
      <c r="D7" s="4" t="inlineStr">
        <is>
          <t>Registration cap at 10 teams</t>
        </is>
      </c>
    </row>
    <row r="8">
      <c r="A8" s="7" t="n">
        <v>4</v>
      </c>
      <c r="B8" s="7" t="inlineStr">
        <is>
          <t>All referees Riyadh-based – no travel</t>
        </is>
      </c>
      <c r="C8" s="7" t="inlineStr">
        <is>
          <t>Out-of-city refs add SAR 2K-5K travel each</t>
        </is>
      </c>
      <c r="D8" s="7" t="inlineStr">
        <is>
          <t>Use local Saudi FA/Padel Federation certified</t>
        </is>
      </c>
    </row>
    <row r="9">
      <c r="A9" s="4" t="n">
        <v>5</v>
      </c>
      <c r="B9" s="4" t="inlineStr">
        <is>
          <t>SERA HQ available at no cost for internal events</t>
        </is>
      </c>
      <c r="C9" s="4" t="inlineStr">
        <is>
          <t>External venue for all = +SAR 15K-25K per awareness event</t>
        </is>
      </c>
      <c r="D9" s="4" t="inlineStr">
        <is>
          <t>SERA admin to confirm HQ availability</t>
        </is>
      </c>
    </row>
    <row r="10">
      <c r="A10" s="7" t="n">
        <v>6</v>
      </c>
      <c r="B10" s="7" t="inlineStr">
        <is>
          <t>Standard gifts (SAR 50-150 range)</t>
        </is>
      </c>
      <c r="C10" s="7" t="inlineStr">
        <is>
          <t>Premium/luxury gifts (SAR 200-500) double the line item</t>
        </is>
      </c>
      <c r="D10" s="7" t="inlineStr">
        <is>
          <t>Confirm gift tier per event category</t>
        </is>
      </c>
    </row>
    <row r="11">
      <c r="A11" s="4" t="n">
        <v>7</v>
      </c>
      <c r="B11" s="4" t="inlineStr">
        <is>
          <t>SERA does not own professional AV equipment</t>
        </is>
      </c>
      <c r="C11" s="4" t="inlineStr">
        <is>
          <t>Own AV = reduce SAR 8K-20K per event</t>
        </is>
      </c>
      <c r="D11" s="4" t="inlineStr">
        <is>
          <t>Audit SERA's existing AV inventory</t>
        </is>
      </c>
    </row>
    <row r="12">
      <c r="A12" s="7" t="n">
        <v>8</v>
      </c>
      <c r="B12" s="7" t="inlineStr">
        <is>
          <t>Standard professional entertainment</t>
        </is>
      </c>
      <c r="C12" s="7" t="inlineStr">
        <is>
          <t>Celebrity = SAR 50K-500K+ additional per appearance</t>
        </is>
      </c>
      <c r="D12" s="7" t="inlineStr">
        <is>
          <t>Confirm entertainment tier per major event</t>
        </is>
      </c>
    </row>
    <row r="13">
      <c r="A13" s="4" t="n">
        <v>9</v>
      </c>
      <c r="B13" s="4" t="inlineStr">
        <is>
          <t>Ramadan 2026 dates per expected Hijri calendar</t>
        </is>
      </c>
      <c r="C13" s="4" t="inlineStr">
        <is>
          <t>Shifting dates affect Q1/Q2 scheduling</t>
        </is>
      </c>
      <c r="D13" s="4" t="inlineStr">
        <is>
          <t>Confirm when official dates announced</t>
        </is>
      </c>
    </row>
    <row r="14">
      <c r="A14" s="7" t="n">
        <v>10</v>
      </c>
      <c r="B14" s="7" t="inlineStr">
        <is>
          <t>2026 prices with 5-10% inflation from 2025</t>
        </is>
      </c>
      <c r="C14" s="7" t="inlineStr">
        <is>
          <t>If contracts delayed, additional adjustment needed</t>
        </is>
      </c>
      <c r="D14" s="7" t="inlineStr">
        <is>
          <t>Include price escalation clause</t>
        </is>
      </c>
    </row>
    <row r="15">
      <c r="A15" s="4" t="n">
        <v>11</v>
      </c>
      <c r="B15" s="4" t="inlineStr">
        <is>
          <t>Agency commission: 15% on all events</t>
        </is>
      </c>
      <c r="C15" s="4" t="inlineStr">
        <is>
          <t>Industry range is 10-20% depending on scope</t>
        </is>
      </c>
      <c r="D15" s="4" t="inlineStr">
        <is>
          <t>Standard for full-service event management</t>
        </is>
      </c>
    </row>
    <row r="16">
      <c r="A16" s="7" t="n">
        <v>12</v>
      </c>
      <c r="B16" s="7" t="inlineStr">
        <is>
          <t>VAT at 15% (ZATCA standard)</t>
        </is>
      </c>
      <c r="C16" s="7" t="inlineStr">
        <is>
          <t>Rate changes affect total</t>
        </is>
      </c>
      <c r="D16" s="7" t="inlineStr">
        <is>
          <t>Applied to all taxable services</t>
        </is>
      </c>
    </row>
    <row r="17">
      <c r="A17" s="4" t="n">
        <v>13</v>
      </c>
      <c r="B17" s="4" t="inlineStr">
        <is>
          <t>Women's Day requires female photographer &amp; ladies venue</t>
        </is>
      </c>
      <c r="C17" s="4" t="inlineStr">
        <is>
          <t>Mixed-gender reduces venue restrictions</t>
        </is>
      </c>
      <c r="D17" s="4" t="inlineStr">
        <is>
          <t>Standard for Saudi government entities</t>
        </is>
      </c>
    </row>
    <row r="18">
      <c r="A18" s="7" t="n">
        <v>14</v>
      </c>
      <c r="B18" s="7" t="inlineStr">
        <is>
          <t>Family events (Summer/Children's Day) include ~200 family members</t>
        </is>
      </c>
      <c r="C18" s="7" t="inlineStr">
        <is>
          <t>Employees-only reduces budget by ~40%</t>
        </is>
      </c>
      <c r="D18" s="7" t="inlineStr">
        <is>
          <t>Confirm family invitation policy</t>
        </is>
      </c>
    </row>
    <row r="19">
      <c r="A19" s="4" t="n">
        <v>15</v>
      </c>
      <c r="B19" s="4" t="inlineStr">
        <is>
          <t>National Day = major-tier event with premium budget</t>
        </is>
      </c>
      <c r="C19" s="4" t="inlineStr">
        <is>
          <t>Standard tier saves SAR 100K+</t>
        </is>
      </c>
      <c r="D19" s="4" t="inlineStr">
        <is>
          <t>Typically highest-profile for government</t>
        </is>
      </c>
    </row>
    <row r="20">
      <c r="A20" s="7" t="n">
        <v>16</v>
      </c>
      <c r="B20" s="7" t="inlineStr">
        <is>
          <t>Children's Corner at Eid = optional (families may not be invited)</t>
        </is>
      </c>
      <c r="C20" s="7" t="inlineStr">
        <is>
          <t>If families attend, add SAR 12K per Eid event</t>
        </is>
      </c>
      <c r="D20" s="7" t="inlineStr">
        <is>
          <t>SERA to confirm family invitation policy</t>
        </is>
      </c>
    </row>
    <row r="23">
      <c r="A23" s="10" t="inlineStr">
        <is>
          <t>PAYMENT TERMS (KSA Market Standard)</t>
        </is>
      </c>
    </row>
    <row r="24">
      <c r="A24" s="3" t="inlineStr">
        <is>
          <t>#</t>
        </is>
      </c>
      <c r="B24" s="3" t="inlineStr">
        <is>
          <t>Term</t>
        </is>
      </c>
      <c r="C24" s="3" t="inlineStr">
        <is>
          <t>Condition</t>
        </is>
      </c>
      <c r="D24" s="3" t="inlineStr">
        <is>
          <t>Details</t>
        </is>
      </c>
    </row>
    <row r="25">
      <c r="A25" s="4" t="n">
        <v>1</v>
      </c>
      <c r="B25" s="50" t="inlineStr">
        <is>
          <t>Advance Payment</t>
        </is>
      </c>
      <c r="C25" s="4" t="inlineStr">
        <is>
          <t>30% upon contract signing</t>
        </is>
      </c>
      <c r="D25" s="4" t="inlineStr">
        <is>
          <t>Secures venue bookings and vendor commitments</t>
        </is>
      </c>
    </row>
    <row r="26">
      <c r="A26" s="4" t="n">
        <v>2</v>
      </c>
      <c r="B26" s="50" t="inlineStr">
        <is>
          <t>Progress Payment</t>
        </is>
      </c>
      <c r="C26" s="4" t="inlineStr">
        <is>
          <t>40% two weeks before each event</t>
        </is>
      </c>
      <c r="D26" s="4" t="inlineStr">
        <is>
          <t>Triggers final vendor confirmations and material production</t>
        </is>
      </c>
    </row>
    <row r="27">
      <c r="A27" s="4" t="n">
        <v>3</v>
      </c>
      <c r="B27" s="50" t="inlineStr">
        <is>
          <t>Final Payment</t>
        </is>
      </c>
      <c r="C27" s="4" t="inlineStr">
        <is>
          <t>30% within 14 business days post-event</t>
        </is>
      </c>
      <c r="D27" s="4" t="inlineStr">
        <is>
          <t>Upon delivery of photos, videos, and evaluation report</t>
        </is>
      </c>
    </row>
    <row r="28">
      <c r="A28" s="4" t="n">
        <v>4</v>
      </c>
      <c r="B28" s="50" t="inlineStr">
        <is>
          <t>Cancellation 30+ days</t>
        </is>
      </c>
      <c r="C28" s="4" t="inlineStr">
        <is>
          <t>100% refund of advance</t>
        </is>
      </c>
      <c r="D28" s="4" t="inlineStr">
        <is>
          <t>Full refund minus non-recoverable vendor deposits</t>
        </is>
      </c>
    </row>
    <row r="29">
      <c r="A29" s="4" t="n">
        <v>5</v>
      </c>
      <c r="B29" s="50" t="inlineStr">
        <is>
          <t>Cancellation 15-30 days</t>
        </is>
      </c>
      <c r="C29" s="4" t="inlineStr">
        <is>
          <t>50% refund</t>
        </is>
      </c>
      <c r="D29" s="4" t="inlineStr">
        <is>
          <t>Venue and vendor cancellation fees apply</t>
        </is>
      </c>
    </row>
    <row r="30">
      <c r="A30" s="4" t="n">
        <v>6</v>
      </c>
      <c r="B30" s="50" t="inlineStr">
        <is>
          <t>Cancellation &lt;15 days</t>
        </is>
      </c>
      <c r="C30" s="4" t="inlineStr">
        <is>
          <t>No refund</t>
        </is>
      </c>
      <c r="D30" s="4" t="inlineStr">
        <is>
          <t>Full charges apply – vendors already committed</t>
        </is>
      </c>
    </row>
    <row r="31">
      <c r="A31" s="4" t="n">
        <v>7</v>
      </c>
      <c r="B31" s="50" t="inlineStr">
        <is>
          <t>Event Postponement</t>
        </is>
      </c>
      <c r="C31" s="4" t="inlineStr">
        <is>
          <t>Rescheduling at no extra charge</t>
        </is>
      </c>
      <c r="D31" s="4" t="inlineStr">
        <is>
          <t>Subject to venue/vendor availability within 60 days</t>
        </is>
      </c>
    </row>
    <row r="32">
      <c r="A32" s="4" t="n">
        <v>8</v>
      </c>
      <c r="B32" s="50" t="inlineStr">
        <is>
          <t>Price Validity</t>
        </is>
      </c>
      <c r="C32" s="4" t="inlineStr">
        <is>
          <t>90 days from proposal date</t>
        </is>
      </c>
      <c r="D32" s="4" t="inlineStr">
        <is>
          <t>Subject to vendor rate confirmations</t>
        </is>
      </c>
    </row>
    <row r="33">
      <c r="A33" s="4" t="n">
        <v>9</v>
      </c>
      <c r="B33" s="50" t="inlineStr">
        <is>
          <t>Annual Contract Discount</t>
        </is>
      </c>
      <c r="C33" s="4" t="inlineStr">
        <is>
          <t>5-8% for full annual commitment</t>
        </is>
      </c>
      <c r="D33" s="4" t="inlineStr">
        <is>
          <t>Negotiable based on payment terms</t>
        </is>
      </c>
    </row>
    <row r="36">
      <c r="A36" s="10" t="inlineStr">
        <is>
          <t>COST OPTIMIZATION OPPORTUNITIES</t>
        </is>
      </c>
    </row>
    <row r="37">
      <c r="A37" s="3" t="inlineStr">
        <is>
          <t>#</t>
        </is>
      </c>
      <c r="B37" s="3" t="inlineStr">
        <is>
          <t>Opportunity</t>
        </is>
      </c>
      <c r="C37" s="3" t="inlineStr">
        <is>
          <t>Potential Savings (SAR)</t>
        </is>
      </c>
      <c r="D37" s="3" t="inlineStr">
        <is>
          <t>Recommendation</t>
        </is>
      </c>
    </row>
    <row r="38">
      <c r="A38" s="4" t="n">
        <v>1</v>
      </c>
      <c r="B38" s="4" t="inlineStr">
        <is>
          <t>Annual vendor contracts (preferred rates)</t>
        </is>
      </c>
      <c r="C38" s="50" t="inlineStr">
        <is>
          <t>200,000 – 350,000</t>
        </is>
      </c>
      <c r="D38" s="4" t="inlineStr">
        <is>
          <t>STRONGLY RECOMMENDED – negotiate 10-15% volume discounts</t>
        </is>
      </c>
    </row>
    <row r="39">
      <c r="A39" s="7" t="n">
        <v>2</v>
      </c>
      <c r="B39" s="7" t="inlineStr">
        <is>
          <t>Maximize SERA HQ for awareness events</t>
        </is>
      </c>
      <c r="C39" s="51" t="inlineStr">
        <is>
          <t>120,000 – 180,000</t>
        </is>
      </c>
      <c r="D39" s="7" t="inlineStr">
        <is>
          <t>RECOMMENDED – save venue budget for major galas</t>
        </is>
      </c>
    </row>
    <row r="40">
      <c r="A40" s="4" t="n">
        <v>3</v>
      </c>
      <c r="B40" s="4" t="inlineStr">
        <is>
          <t>Bundled AV equipment annual rental</t>
        </is>
      </c>
      <c r="C40" s="50" t="inlineStr">
        <is>
          <t>50,000 – 80,000</t>
        </is>
      </c>
      <c r="D40" s="4" t="inlineStr">
        <is>
          <t>RECOMMENDED – consistency + lower rates</t>
        </is>
      </c>
    </row>
    <row r="41">
      <c r="A41" s="7" t="n">
        <v>4</v>
      </c>
      <c r="B41" s="7" t="inlineStr">
        <is>
          <t>Bundled photography/videography contract</t>
        </is>
      </c>
      <c r="C41" s="51" t="inlineStr">
        <is>
          <t>40,000 – 65,000</t>
        </is>
      </c>
      <c r="D41" s="7" t="inlineStr">
        <is>
          <t>RECOMMENDED – familiar with SERA brand</t>
        </is>
      </c>
    </row>
    <row r="42">
      <c r="A42" s="4" t="n">
        <v>5</v>
      </c>
      <c r="B42" s="4" t="inlineStr">
        <is>
          <t>Reduce gift tier for awareness days</t>
        </is>
      </c>
      <c r="C42" s="50" t="inlineStr">
        <is>
          <t>40,000 – 60,000</t>
        </is>
      </c>
      <c r="D42" s="4" t="inlineStr">
        <is>
          <t>RECOMMENDED – reserve premium for celebrations</t>
        </is>
      </c>
    </row>
    <row r="43">
      <c r="A43" s="7" t="n">
        <v>6</v>
      </c>
      <c r="B43" s="7" t="inlineStr">
        <is>
          <t>Off-peak weekday timing for awareness events</t>
        </is>
      </c>
      <c r="C43" s="51" t="inlineStr">
        <is>
          <t>60,000 – 100,000</t>
        </is>
      </c>
      <c r="D43" s="7" t="inlineStr">
        <is>
          <t>CONSIDER – may reduce attendance</t>
        </is>
      </c>
    </row>
    <row r="44">
      <c r="A44" s="4" t="n">
        <v>7</v>
      </c>
      <c r="B44" s="4" t="inlineStr">
        <is>
          <t>Standard entertainment for mid-tier events</t>
        </is>
      </c>
      <c r="C44" s="50" t="inlineStr">
        <is>
          <t>80,000 – 130,000</t>
        </is>
      </c>
      <c r="D44" s="4" t="inlineStr">
        <is>
          <t>SELECTIVELY APPLY – keep premium for Eid, National Day, Year-End</t>
        </is>
      </c>
    </row>
  </sheetData>
  <mergeCells count="4">
    <mergeCell ref="A1:D1"/>
    <mergeCell ref="A23:D23"/>
    <mergeCell ref="A36:D36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2026-01-27T09:45:56Z</dcterms:created>
  <dcterms:modified xsi:type="dcterms:W3CDTF">2026-01-27T09:45:56Z</dcterms:modified>
</cp:coreProperties>
</file>