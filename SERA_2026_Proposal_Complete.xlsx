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vents &amp; Budget" sheetId="1" state="visible" r:id="rId1"/>
    <sheet name="Budget Summary" sheetId="2" state="visible" r:id="rId2"/>
    <sheet name="Timeline" sheetId="3" state="visible" r:id="rId3"/>
    <sheet name="Planning Checklist" sheetId="4" state="visible" r:id="rId4"/>
  </sheets>
  <definedNames>
    <definedName name="_xlnm._FilterDatabase" localSheetId="0" hidden="1">'Events &amp; Budget'!$A$4:$N$47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SAR&quot;"/>
    <numFmt numFmtId="165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2E75B6"/>
      <sz val="12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0"/>
    </font>
    <font>
      <name val="Calibri"/>
      <color rgb="00006100"/>
      <sz val="10"/>
    </font>
    <font>
      <name val="Calibri"/>
      <b val="1"/>
      <color rgb="00006100"/>
      <sz val="10"/>
    </font>
    <font>
      <name val="Calibri"/>
      <b val="1"/>
      <color rgb="00FFFFFF"/>
      <sz val="12"/>
    </font>
    <font>
      <color rgb="00FFFFFF"/>
      <sz val="8"/>
    </font>
    <font>
      <color rgb="00FFFFFF"/>
      <sz val="10"/>
    </font>
    <font>
      <color rgb="002E75B6"/>
      <sz val="8"/>
    </font>
    <font>
      <sz val="14"/>
    </font>
  </fonts>
  <fills count="12">
    <fill>
      <patternFill/>
    </fill>
    <fill>
      <patternFill patternType="gray125"/>
    </fill>
    <fill>
      <patternFill patternType="solid">
        <fgColor rgb="002E75B6"/>
        <bgColor rgb="002E75B6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D9E2F3"/>
        <bgColor rgb="00D9E2F3"/>
      </patternFill>
    </fill>
    <fill>
      <patternFill patternType="solid">
        <fgColor rgb="00FFF2CC"/>
        <bgColor rgb="00FFF2CC"/>
      </patternFill>
    </fill>
    <fill>
      <patternFill patternType="solid">
        <fgColor rgb="00F2DCDB"/>
        <bgColor rgb="00F2DCD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  <fill>
      <patternFill patternType="solid">
        <fgColor rgb="0070AD47"/>
        <bgColor rgb="0070AD47"/>
      </patternFill>
    </fill>
    <fill>
      <patternFill patternType="solid">
        <fgColor rgb="00BDD7EE"/>
        <bgColor rgb="00BDD7EE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right" vertical="center"/>
    </xf>
    <xf numFmtId="164" fontId="7" fillId="3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3" fontId="4" fillId="4" borderId="1" applyAlignment="1" pivotButton="0" quotePrefix="0" xfId="0">
      <alignment horizontal="center" vertical="center" wrapText="1"/>
    </xf>
    <xf numFmtId="164" fontId="6" fillId="4" borderId="1" applyAlignment="1" pivotButton="0" quotePrefix="0" xfId="0">
      <alignment horizontal="right" vertical="center"/>
    </xf>
    <xf numFmtId="164" fontId="7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3" fontId="4" fillId="6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3" fontId="4" fillId="7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right" vertical="center"/>
    </xf>
    <xf numFmtId="164" fontId="7" fillId="7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right" vertical="center"/>
    </xf>
    <xf numFmtId="0" fontId="0" fillId="8" borderId="1" pivotButton="0" quotePrefix="0" xfId="0"/>
    <xf numFmtId="164" fontId="8" fillId="8" borderId="1" applyAlignment="1" pivotButton="0" quotePrefix="0" xfId="0">
      <alignment horizontal="right" vertical="center"/>
    </xf>
    <xf numFmtId="0" fontId="2" fillId="0" borderId="0" pivotButton="0" quotePrefix="0" xfId="0"/>
    <xf numFmtId="165" fontId="4" fillId="3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/>
    </xf>
    <xf numFmtId="165" fontId="4" fillId="6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right" vertical="center"/>
    </xf>
    <xf numFmtId="165" fontId="4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center" vertical="center" wrapText="1"/>
    </xf>
    <xf numFmtId="165" fontId="3" fillId="8" borderId="1" applyAlignment="1" pivotButton="0" quotePrefix="0" xfId="0">
      <alignment horizontal="center" vertical="center" wrapText="1"/>
    </xf>
    <xf numFmtId="164" fontId="3" fillId="8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0" fontId="3" fillId="8" borderId="1" pivotButton="0" quotePrefix="0" xfId="0"/>
    <xf numFmtId="0" fontId="2" fillId="9" borderId="0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0" fillId="2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1" fillId="11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12" fillId="3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2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N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42" customWidth="1" min="3" max="3"/>
    <col width="13" customWidth="1" min="4" max="4"/>
    <col width="10" customWidth="1" min="5" max="5"/>
    <col width="12" customWidth="1" min="6" max="6"/>
    <col width="13" customWidth="1" min="7" max="7"/>
    <col width="14" customWidth="1" min="8" max="8"/>
    <col width="9" customWidth="1" min="9" max="9"/>
    <col width="16" customWidth="1" min="10" max="10"/>
    <col width="22" customWidth="1" min="11" max="11"/>
    <col width="10" customWidth="1" min="12" max="12"/>
    <col width="10" customWidth="1" min="13" max="13"/>
    <col width="35" customWidth="1" min="14" max="14"/>
  </cols>
  <sheetData>
    <row r="1">
      <c r="A1" s="1" t="inlineStr">
        <is>
          <t>SERA 2026 Internal Communication Plan - خطة التواصل الداخلي</t>
        </is>
      </c>
    </row>
    <row r="2">
      <c r="A2" s="2" t="inlineStr">
        <is>
          <t>Strategic Goal: تعزيز تواصل الموظفين وخلق صورة جاذبة للهيئة</t>
        </is>
      </c>
    </row>
    <row r="4">
      <c r="A4" s="3" t="inlineStr">
        <is>
          <t>#</t>
        </is>
      </c>
      <c r="B4" s="3" t="inlineStr">
        <is>
          <t>Category
(المشروع)</t>
        </is>
      </c>
      <c r="C4" s="3" t="inlineStr">
        <is>
          <t>Event Name
(الوصف)</t>
        </is>
      </c>
      <c r="D4" s="3" t="inlineStr">
        <is>
          <t>Date</t>
        </is>
      </c>
      <c r="E4" s="3" t="inlineStr">
        <is>
          <t>Quarter</t>
        </is>
      </c>
      <c r="F4" s="3" t="inlineStr">
        <is>
          <t>Month</t>
        </is>
      </c>
      <c r="G4" s="3" t="inlineStr">
        <is>
          <t>Est. Attendees</t>
        </is>
      </c>
      <c r="H4" s="3" t="inlineStr">
        <is>
          <t>Unit Cost
(SAR)</t>
        </is>
      </c>
      <c r="I4" s="3" t="inlineStr">
        <is>
          <t>Quantity</t>
        </is>
      </c>
      <c r="J4" s="3" t="inlineStr">
        <is>
          <t>Total Budget
(SAR)</t>
        </is>
      </c>
      <c r="K4" s="3" t="inlineStr">
        <is>
          <t>Vendor/
Supplier</t>
        </is>
      </c>
      <c r="L4" s="3" t="inlineStr">
        <is>
          <t>Priority</t>
        </is>
      </c>
      <c r="M4" s="3" t="inlineStr">
        <is>
          <t>Status</t>
        </is>
      </c>
      <c r="N4" s="3" t="inlineStr">
        <is>
          <t>Notes</t>
        </is>
      </c>
    </row>
    <row r="5">
      <c r="A5" s="4" t="n">
        <v>1</v>
      </c>
      <c r="B5" s="5" t="inlineStr">
        <is>
          <t>النشرة الأسبوعية</t>
        </is>
      </c>
      <c r="C5" s="6" t="inlineStr">
        <is>
          <t>Weekly Newsletter
(النشرة الأسبوعية)</t>
        </is>
      </c>
      <c r="D5" s="4" t="inlineStr">
        <is>
          <t>Ongoing</t>
        </is>
      </c>
      <c r="E5" s="4" t="inlineStr">
        <is>
          <t>All</t>
        </is>
      </c>
      <c r="F5" s="4" t="inlineStr">
        <is>
          <t>All Year</t>
        </is>
      </c>
      <c r="G5" s="7" t="n">
        <v>500</v>
      </c>
      <c r="H5" s="8" t="n">
        <v>200</v>
      </c>
      <c r="I5" s="4" t="n">
        <v>52</v>
      </c>
      <c r="J5" s="9">
        <f>H5*I5</f>
        <v/>
      </c>
      <c r="K5" s="6" t="inlineStr">
        <is>
          <t>In-house / Print Vendor</t>
        </is>
      </c>
      <c r="L5" s="4" t="inlineStr">
        <is>
          <t>High</t>
        </is>
      </c>
      <c r="M5" s="4" t="inlineStr">
        <is>
          <t>Planned</t>
        </is>
      </c>
      <c r="N5" s="6" t="inlineStr">
        <is>
          <t>52 weekly issues</t>
        </is>
      </c>
    </row>
    <row r="6">
      <c r="A6" s="10" t="n">
        <v>2</v>
      </c>
      <c r="B6" s="11" t="inlineStr">
        <is>
          <t>المناسبات الوطنية</t>
        </is>
      </c>
      <c r="C6" s="12" t="inlineStr">
        <is>
          <t>National Day Celebration
(الاحتفال باليوم الوطني)</t>
        </is>
      </c>
      <c r="D6" s="10" t="inlineStr">
        <is>
          <t>23-Sep</t>
        </is>
      </c>
      <c r="E6" s="10" t="inlineStr">
        <is>
          <t>Q3</t>
        </is>
      </c>
      <c r="F6" s="10" t="inlineStr">
        <is>
          <t>September</t>
        </is>
      </c>
      <c r="G6" s="13" t="n">
        <v>500</v>
      </c>
      <c r="H6" s="14" t="n">
        <v>150</v>
      </c>
      <c r="I6" s="10" t="n">
        <v>1</v>
      </c>
      <c r="J6" s="15">
        <f>H6*I6</f>
        <v/>
      </c>
      <c r="K6" s="12" t="inlineStr">
        <is>
          <t>Events Company</t>
        </is>
      </c>
      <c r="L6" s="10" t="inlineStr">
        <is>
          <t>High</t>
        </is>
      </c>
      <c r="M6" s="10" t="inlineStr">
        <is>
          <t>Planned</t>
        </is>
      </c>
      <c r="N6" s="12" t="inlineStr">
        <is>
          <t>Company-wide celebration</t>
        </is>
      </c>
    </row>
    <row r="7">
      <c r="A7" s="10" t="n">
        <v>3</v>
      </c>
      <c r="B7" s="11" t="inlineStr">
        <is>
          <t>المناسبات الوطنية</t>
        </is>
      </c>
      <c r="C7" s="12" t="inlineStr">
        <is>
          <t>Foundation Day
(الاحتفال بيوم التأسيس - هدايا توزيعات)</t>
        </is>
      </c>
      <c r="D7" s="10" t="inlineStr">
        <is>
          <t>22-Feb</t>
        </is>
      </c>
      <c r="E7" s="10" t="inlineStr">
        <is>
          <t>Q1</t>
        </is>
      </c>
      <c r="F7" s="10" t="inlineStr">
        <is>
          <t>February</t>
        </is>
      </c>
      <c r="G7" s="13" t="n">
        <v>500</v>
      </c>
      <c r="H7" s="14" t="n">
        <v>100</v>
      </c>
      <c r="I7" s="10" t="n">
        <v>1</v>
      </c>
      <c r="J7" s="15">
        <f>H7*I7</f>
        <v/>
      </c>
      <c r="K7" s="12" t="inlineStr">
        <is>
          <t>Gifts Supplier</t>
        </is>
      </c>
      <c r="L7" s="10" t="inlineStr">
        <is>
          <t>High</t>
        </is>
      </c>
      <c r="M7" s="10" t="inlineStr">
        <is>
          <t>Planned</t>
        </is>
      </c>
      <c r="N7" s="12" t="inlineStr">
        <is>
          <t>Gifts &amp; giveaways</t>
        </is>
      </c>
    </row>
    <row r="8">
      <c r="A8" s="16" t="n">
        <v>4</v>
      </c>
      <c r="B8" s="17" t="inlineStr">
        <is>
          <t>بطولات</t>
        </is>
      </c>
      <c r="C8" s="18" t="inlineStr">
        <is>
          <t>Padel Tournament
(بطولة بادل للموظفين)</t>
        </is>
      </c>
      <c r="D8" s="16" t="inlineStr">
        <is>
          <t>TBD</t>
        </is>
      </c>
      <c r="E8" s="16" t="inlineStr">
        <is>
          <t>Q2</t>
        </is>
      </c>
      <c r="F8" s="16" t="inlineStr">
        <is>
          <t>TBD</t>
        </is>
      </c>
      <c r="G8" s="19" t="n">
        <v>64</v>
      </c>
      <c r="H8" s="20" t="n">
        <v>500</v>
      </c>
      <c r="I8" s="16" t="n">
        <v>1</v>
      </c>
      <c r="J8" s="21">
        <f>H8*I8</f>
        <v/>
      </c>
      <c r="K8" s="18" t="inlineStr">
        <is>
          <t>Padel Club</t>
        </is>
      </c>
      <c r="L8" s="16" t="inlineStr">
        <is>
          <t>Medium</t>
        </is>
      </c>
      <c r="M8" s="16" t="inlineStr">
        <is>
          <t>Planned</t>
        </is>
      </c>
      <c r="N8" s="18" t="inlineStr">
        <is>
          <t>Employee tournament</t>
        </is>
      </c>
    </row>
    <row r="9">
      <c r="A9" s="16" t="n">
        <v>5</v>
      </c>
      <c r="B9" s="17" t="inlineStr">
        <is>
          <t>بطولات</t>
        </is>
      </c>
      <c r="C9" s="18" t="inlineStr">
        <is>
          <t>Walking Challenge
(تحدي المشي)</t>
        </is>
      </c>
      <c r="D9" s="16" t="inlineStr">
        <is>
          <t>TBD</t>
        </is>
      </c>
      <c r="E9" s="16" t="inlineStr">
        <is>
          <t>Q1-Q4</t>
        </is>
      </c>
      <c r="F9" s="16" t="inlineStr">
        <is>
          <t>TBD</t>
        </is>
      </c>
      <c r="G9" s="19" t="n">
        <v>200</v>
      </c>
      <c r="H9" s="20" t="n">
        <v>50</v>
      </c>
      <c r="I9" s="16" t="n">
        <v>1</v>
      </c>
      <c r="J9" s="21">
        <f>H9*I9</f>
        <v/>
      </c>
      <c r="K9" s="18" t="inlineStr">
        <is>
          <t>In-house / App</t>
        </is>
      </c>
      <c r="L9" s="16" t="inlineStr">
        <is>
          <t>Medium</t>
        </is>
      </c>
      <c r="M9" s="16" t="inlineStr">
        <is>
          <t>Planned</t>
        </is>
      </c>
      <c r="N9" s="18" t="inlineStr">
        <is>
          <t>Year-round challenge</t>
        </is>
      </c>
    </row>
    <row r="10">
      <c r="A10" s="16" t="n">
        <v>6</v>
      </c>
      <c r="B10" s="17" t="inlineStr">
        <is>
          <t>بطولات</t>
        </is>
      </c>
      <c r="C10" s="18" t="inlineStr">
        <is>
          <t>Football Tournament
(تنظيم بطولة كرة قدم للموظفين)</t>
        </is>
      </c>
      <c r="D10" s="16" t="inlineStr">
        <is>
          <t>TBD</t>
        </is>
      </c>
      <c r="E10" s="16" t="inlineStr">
        <is>
          <t>Q3</t>
        </is>
      </c>
      <c r="F10" s="16" t="inlineStr">
        <is>
          <t>TBD</t>
        </is>
      </c>
      <c r="G10" s="19" t="n">
        <v>80</v>
      </c>
      <c r="H10" s="20" t="n">
        <v>400</v>
      </c>
      <c r="I10" s="16" t="n">
        <v>1</v>
      </c>
      <c r="J10" s="21">
        <f>H10*I10</f>
        <v/>
      </c>
      <c r="K10" s="18" t="inlineStr">
        <is>
          <t>Sports Facility</t>
        </is>
      </c>
      <c r="L10" s="16" t="inlineStr">
        <is>
          <t>Medium</t>
        </is>
      </c>
      <c r="M10" s="16" t="inlineStr">
        <is>
          <t>Planned</t>
        </is>
      </c>
      <c r="N10" s="18" t="inlineStr">
        <is>
          <t>Employee tournament</t>
        </is>
      </c>
    </row>
    <row r="11">
      <c r="A11" s="4" t="n">
        <v>7</v>
      </c>
      <c r="B11" s="5" t="inlineStr">
        <is>
          <t>المسؤولية الاجتماعية</t>
        </is>
      </c>
      <c r="C11" s="6" t="inlineStr">
        <is>
          <t>Saudi Green Initiative
(مبادرة السعودية الخضراء)</t>
        </is>
      </c>
      <c r="D11" s="4" t="inlineStr">
        <is>
          <t>27-Mar</t>
        </is>
      </c>
      <c r="E11" s="4" t="inlineStr">
        <is>
          <t>Q1</t>
        </is>
      </c>
      <c r="F11" s="4" t="inlineStr">
        <is>
          <t>March</t>
        </is>
      </c>
      <c r="G11" s="7" t="n">
        <v>100</v>
      </c>
      <c r="H11" s="8" t="n">
        <v>80</v>
      </c>
      <c r="I11" s="4" t="n">
        <v>1</v>
      </c>
      <c r="J11" s="9">
        <f>H11*I11</f>
        <v/>
      </c>
      <c r="K11" s="6" t="inlineStr">
        <is>
          <t>Nursery / Env. Org</t>
        </is>
      </c>
      <c r="L11" s="4" t="inlineStr">
        <is>
          <t>High</t>
        </is>
      </c>
      <c r="M11" s="4" t="inlineStr">
        <is>
          <t>Planned</t>
        </is>
      </c>
      <c r="N11" s="6" t="inlineStr">
        <is>
          <t>Tree planting &amp; awareness</t>
        </is>
      </c>
    </row>
    <row r="12">
      <c r="A12" s="4" t="n">
        <v>8</v>
      </c>
      <c r="B12" s="5" t="inlineStr">
        <is>
          <t>المسؤولية الاجتماعية</t>
        </is>
      </c>
      <c r="C12" s="6" t="inlineStr">
        <is>
          <t>Ihsan Campaign
(حملة احسان)</t>
        </is>
      </c>
      <c r="D12" s="4" t="inlineStr">
        <is>
          <t>TBD</t>
        </is>
      </c>
      <c r="E12" s="4" t="inlineStr">
        <is>
          <t>Q2</t>
        </is>
      </c>
      <c r="F12" s="4" t="inlineStr">
        <is>
          <t>TBD</t>
        </is>
      </c>
      <c r="G12" s="7" t="n">
        <v>300</v>
      </c>
      <c r="H12" s="8" t="n">
        <v>0</v>
      </c>
      <c r="I12" s="4" t="n">
        <v>1</v>
      </c>
      <c r="J12" s="9">
        <f>H12*I12</f>
        <v/>
      </c>
      <c r="K12" s="6" t="inlineStr">
        <is>
          <t>Ihsan Platform</t>
        </is>
      </c>
      <c r="L12" s="4" t="inlineStr">
        <is>
          <t>High</t>
        </is>
      </c>
      <c r="M12" s="4" t="inlineStr">
        <is>
          <t>Planned</t>
        </is>
      </c>
      <c r="N12" s="6" t="inlineStr">
        <is>
          <t>Employee donation drive</t>
        </is>
      </c>
    </row>
    <row r="13">
      <c r="A13" s="4" t="n">
        <v>9</v>
      </c>
      <c r="B13" s="5" t="inlineStr">
        <is>
          <t>المسؤولية الاجتماعية</t>
        </is>
      </c>
      <c r="C13" s="6" t="inlineStr">
        <is>
          <t>Clothing Drive
(كسوة فرح)</t>
        </is>
      </c>
      <c r="D13" s="4" t="inlineStr">
        <is>
          <t>TBD</t>
        </is>
      </c>
      <c r="E13" s="4" t="inlineStr">
        <is>
          <t>Q4</t>
        </is>
      </c>
      <c r="F13" s="4" t="inlineStr">
        <is>
          <t>TBD</t>
        </is>
      </c>
      <c r="G13" s="7" t="n">
        <v>200</v>
      </c>
      <c r="H13" s="8" t="n">
        <v>30</v>
      </c>
      <c r="I13" s="4" t="n">
        <v>1</v>
      </c>
      <c r="J13" s="9">
        <f>H13*I13</f>
        <v/>
      </c>
      <c r="K13" s="6" t="inlineStr">
        <is>
          <t>Charity Partner</t>
        </is>
      </c>
      <c r="L13" s="4" t="inlineStr">
        <is>
          <t>Medium</t>
        </is>
      </c>
      <c r="M13" s="4" t="inlineStr">
        <is>
          <t>Planned</t>
        </is>
      </c>
      <c r="N13" s="6" t="inlineStr">
        <is>
          <t>Collect &amp; distribute clothing</t>
        </is>
      </c>
    </row>
    <row r="14">
      <c r="A14" s="4" t="n">
        <v>10</v>
      </c>
      <c r="B14" s="5" t="inlineStr">
        <is>
          <t>المسؤولية الاجتماعية</t>
        </is>
      </c>
      <c r="C14" s="6" t="inlineStr">
        <is>
          <t>World Blood Donation Day
(اليوم العالمي للتبرع بالدم)</t>
        </is>
      </c>
      <c r="D14" s="4" t="inlineStr">
        <is>
          <t>14-Jun</t>
        </is>
      </c>
      <c r="E14" s="4" t="inlineStr">
        <is>
          <t>Q2</t>
        </is>
      </c>
      <c r="F14" s="4" t="inlineStr">
        <is>
          <t>June</t>
        </is>
      </c>
      <c r="G14" s="7" t="n">
        <v>80</v>
      </c>
      <c r="H14" s="8" t="n">
        <v>50</v>
      </c>
      <c r="I14" s="4" t="n">
        <v>1</v>
      </c>
      <c r="J14" s="9">
        <f>H14*I14</f>
        <v/>
      </c>
      <c r="K14" s="6" t="inlineStr">
        <is>
          <t>Blood Bank / Hospital</t>
        </is>
      </c>
      <c r="L14" s="4" t="inlineStr">
        <is>
          <t>High</t>
        </is>
      </c>
      <c r="M14" s="4" t="inlineStr">
        <is>
          <t>Planned</t>
        </is>
      </c>
      <c r="N14" s="6" t="inlineStr">
        <is>
          <t>On-site blood drive</t>
        </is>
      </c>
    </row>
    <row r="15">
      <c r="A15" s="4" t="n">
        <v>11</v>
      </c>
      <c r="B15" s="5" t="inlineStr">
        <is>
          <t>المسؤولية الاجتماعية</t>
        </is>
      </c>
      <c r="C15" s="6" t="inlineStr">
        <is>
          <t>Environment Week
(اسبوع البيئة)</t>
        </is>
      </c>
      <c r="D15" s="4" t="inlineStr">
        <is>
          <t>TBD</t>
        </is>
      </c>
      <c r="E15" s="4" t="inlineStr">
        <is>
          <t>Q1</t>
        </is>
      </c>
      <c r="F15" s="4" t="inlineStr">
        <is>
          <t>TBD</t>
        </is>
      </c>
      <c r="G15" s="7" t="n">
        <v>150</v>
      </c>
      <c r="H15" s="8" t="n">
        <v>40</v>
      </c>
      <c r="I15" s="4" t="n">
        <v>5</v>
      </c>
      <c r="J15" s="9">
        <f>H15*I15</f>
        <v/>
      </c>
      <c r="K15" s="6" t="inlineStr">
        <is>
          <t>In-house / Env. Org</t>
        </is>
      </c>
      <c r="L15" s="4" t="inlineStr">
        <is>
          <t>Medium</t>
        </is>
      </c>
      <c r="M15" s="4" t="inlineStr">
        <is>
          <t>Planned</t>
        </is>
      </c>
      <c r="N15" s="6" t="inlineStr">
        <is>
          <t>5-day awareness program</t>
        </is>
      </c>
    </row>
    <row r="16">
      <c r="A16" s="4" t="n">
        <v>12</v>
      </c>
      <c r="B16" s="5" t="inlineStr">
        <is>
          <t>المسؤولية الاجتماعية</t>
        </is>
      </c>
      <c r="C16" s="6" t="inlineStr">
        <is>
          <t>International Volunteer Day
(اليوم العالمي للتطوع)</t>
        </is>
      </c>
      <c r="D16" s="4" t="inlineStr">
        <is>
          <t>5-Dec</t>
        </is>
      </c>
      <c r="E16" s="4" t="inlineStr">
        <is>
          <t>Q4</t>
        </is>
      </c>
      <c r="F16" s="4" t="inlineStr">
        <is>
          <t>December</t>
        </is>
      </c>
      <c r="G16" s="7" t="n">
        <v>100</v>
      </c>
      <c r="H16" s="8" t="n">
        <v>60</v>
      </c>
      <c r="I16" s="4" t="n">
        <v>1</v>
      </c>
      <c r="J16" s="9">
        <f>H16*I16</f>
        <v/>
      </c>
      <c r="K16" s="6" t="inlineStr">
        <is>
          <t>NGO Partner</t>
        </is>
      </c>
      <c r="L16" s="4" t="inlineStr">
        <is>
          <t>Medium</t>
        </is>
      </c>
      <c r="M16" s="4" t="inlineStr">
        <is>
          <t>Planned</t>
        </is>
      </c>
      <c r="N16" s="6" t="inlineStr">
        <is>
          <t>Community volunteering</t>
        </is>
      </c>
    </row>
    <row r="17">
      <c r="A17" s="22" t="n">
        <v>13</v>
      </c>
      <c r="B17" s="23" t="inlineStr">
        <is>
          <t>الأيام العالمية</t>
        </is>
      </c>
      <c r="C17" s="24" t="inlineStr">
        <is>
          <t>World No Tobacco Day
(اليوم العالمي للتوقف عن التدخين)</t>
        </is>
      </c>
      <c r="D17" s="22" t="inlineStr">
        <is>
          <t>31-May</t>
        </is>
      </c>
      <c r="E17" s="22" t="inlineStr">
        <is>
          <t>Q2</t>
        </is>
      </c>
      <c r="F17" s="22" t="inlineStr">
        <is>
          <t>May</t>
        </is>
      </c>
      <c r="G17" s="25" t="n">
        <v>300</v>
      </c>
      <c r="H17" s="26" t="n">
        <v>25</v>
      </c>
      <c r="I17" s="22" t="n">
        <v>1</v>
      </c>
      <c r="J17" s="27">
        <f>H17*I17</f>
        <v/>
      </c>
      <c r="K17" s="24" t="inlineStr">
        <is>
          <t>Health Provider</t>
        </is>
      </c>
      <c r="L17" s="22" t="inlineStr">
        <is>
          <t>Medium</t>
        </is>
      </c>
      <c r="M17" s="22" t="inlineStr">
        <is>
          <t>Planned</t>
        </is>
      </c>
      <c r="N17" s="24" t="inlineStr">
        <is>
          <t>Awareness campaign</t>
        </is>
      </c>
    </row>
    <row r="18">
      <c r="A18" s="22" t="n">
        <v>14</v>
      </c>
      <c r="B18" s="23" t="inlineStr">
        <is>
          <t>الأيام العالمية</t>
        </is>
      </c>
      <c r="C18" s="24" t="inlineStr">
        <is>
          <t>World First Aid Day
(اليوم العالمي للاسعافات الأولية)</t>
        </is>
      </c>
      <c r="D18" s="22" t="inlineStr">
        <is>
          <t>13-Sep</t>
        </is>
      </c>
      <c r="E18" s="22" t="inlineStr">
        <is>
          <t>Q3</t>
        </is>
      </c>
      <c r="F18" s="22" t="inlineStr">
        <is>
          <t>September</t>
        </is>
      </c>
      <c r="G18" s="25" t="n">
        <v>100</v>
      </c>
      <c r="H18" s="26" t="n">
        <v>100</v>
      </c>
      <c r="I18" s="22" t="n">
        <v>1</v>
      </c>
      <c r="J18" s="27">
        <f>H18*I18</f>
        <v/>
      </c>
      <c r="K18" s="24" t="inlineStr">
        <is>
          <t>Red Crescent / Trainer</t>
        </is>
      </c>
      <c r="L18" s="22" t="inlineStr">
        <is>
          <t>Medium</t>
        </is>
      </c>
      <c r="M18" s="22" t="inlineStr">
        <is>
          <t>Planned</t>
        </is>
      </c>
      <c r="N18" s="24" t="inlineStr">
        <is>
          <t>Training workshop</t>
        </is>
      </c>
    </row>
    <row r="19">
      <c r="A19" s="22" t="n">
        <v>15</v>
      </c>
      <c r="B19" s="23" t="inlineStr">
        <is>
          <t>الأيام العالمية</t>
        </is>
      </c>
      <c r="C19" s="24" t="inlineStr">
        <is>
          <t>World Alzheimer's Day
(اليوم العالمي للزهايمر)</t>
        </is>
      </c>
      <c r="D19" s="22" t="inlineStr">
        <is>
          <t>21-Sep</t>
        </is>
      </c>
      <c r="E19" s="22" t="inlineStr">
        <is>
          <t>Q3</t>
        </is>
      </c>
      <c r="F19" s="22" t="inlineStr">
        <is>
          <t>September</t>
        </is>
      </c>
      <c r="G19" s="25" t="n">
        <v>300</v>
      </c>
      <c r="H19" s="26" t="n">
        <v>20</v>
      </c>
      <c r="I19" s="22" t="n">
        <v>1</v>
      </c>
      <c r="J19" s="27">
        <f>H19*I19</f>
        <v/>
      </c>
      <c r="K19" s="24" t="inlineStr">
        <is>
          <t>Health Org</t>
        </is>
      </c>
      <c r="L19" s="22" t="inlineStr">
        <is>
          <t>Low</t>
        </is>
      </c>
      <c r="M19" s="22" t="inlineStr">
        <is>
          <t>Planned</t>
        </is>
      </c>
      <c r="N19" s="24" t="inlineStr">
        <is>
          <t>Awareness materials</t>
        </is>
      </c>
    </row>
    <row r="20">
      <c r="A20" s="22" t="n">
        <v>16</v>
      </c>
      <c r="B20" s="23" t="inlineStr">
        <is>
          <t>الأيام العالمية</t>
        </is>
      </c>
      <c r="C20" s="24" t="inlineStr">
        <is>
          <t>World Mental Health Day
(يوم الصحة النفسية العالمي)</t>
        </is>
      </c>
      <c r="D20" s="22" t="inlineStr">
        <is>
          <t>10-Oct</t>
        </is>
      </c>
      <c r="E20" s="22" t="inlineStr">
        <is>
          <t>Q4</t>
        </is>
      </c>
      <c r="F20" s="22" t="inlineStr">
        <is>
          <t>October</t>
        </is>
      </c>
      <c r="G20" s="25" t="n">
        <v>300</v>
      </c>
      <c r="H20" s="26" t="n">
        <v>35</v>
      </c>
      <c r="I20" s="22" t="n">
        <v>1</v>
      </c>
      <c r="J20" s="27">
        <f>H20*I20</f>
        <v/>
      </c>
      <c r="K20" s="24" t="inlineStr">
        <is>
          <t>Psychologist / Clinic</t>
        </is>
      </c>
      <c r="L20" s="22" t="inlineStr">
        <is>
          <t>High</t>
        </is>
      </c>
      <c r="M20" s="22" t="inlineStr">
        <is>
          <t>Planned</t>
        </is>
      </c>
      <c r="N20" s="24" t="inlineStr">
        <is>
          <t>Workshop + awareness</t>
        </is>
      </c>
    </row>
    <row r="21">
      <c r="A21" s="22" t="n">
        <v>17</v>
      </c>
      <c r="B21" s="23" t="inlineStr">
        <is>
          <t>الأيام العالمية</t>
        </is>
      </c>
      <c r="C21" s="24" t="inlineStr">
        <is>
          <t>World Breast Cancer Day
(اليوم العالمي لسرطان الثدي)</t>
        </is>
      </c>
      <c r="D21" s="22" t="inlineStr">
        <is>
          <t>TBD-Oct</t>
        </is>
      </c>
      <c r="E21" s="22" t="inlineStr">
        <is>
          <t>Q4</t>
        </is>
      </c>
      <c r="F21" s="22" t="inlineStr">
        <is>
          <t>October</t>
        </is>
      </c>
      <c r="G21" s="25" t="n">
        <v>200</v>
      </c>
      <c r="H21" s="26" t="n">
        <v>30</v>
      </c>
      <c r="I21" s="22" t="n">
        <v>1</v>
      </c>
      <c r="J21" s="27">
        <f>H21*I21</f>
        <v/>
      </c>
      <c r="K21" s="24" t="inlineStr">
        <is>
          <t>Medical Partner</t>
        </is>
      </c>
      <c r="L21" s="22" t="inlineStr">
        <is>
          <t>High</t>
        </is>
      </c>
      <c r="M21" s="22" t="inlineStr">
        <is>
          <t>Planned</t>
        </is>
      </c>
      <c r="N21" s="24" t="inlineStr">
        <is>
          <t>Pink October campaign</t>
        </is>
      </c>
    </row>
    <row r="22">
      <c r="A22" s="22" t="n">
        <v>18</v>
      </c>
      <c r="B22" s="23" t="inlineStr">
        <is>
          <t>الأيام العالمية</t>
        </is>
      </c>
      <c r="C22" s="24" t="inlineStr">
        <is>
          <t>Flu Vaccination
(تطعيم الانفلونزا)</t>
        </is>
      </c>
      <c r="D22" s="22" t="inlineStr">
        <is>
          <t>TBD-Oct</t>
        </is>
      </c>
      <c r="E22" s="22" t="inlineStr">
        <is>
          <t>Q4</t>
        </is>
      </c>
      <c r="F22" s="22" t="inlineStr">
        <is>
          <t>October</t>
        </is>
      </c>
      <c r="G22" s="25" t="n">
        <v>400</v>
      </c>
      <c r="H22" s="26" t="n">
        <v>80</v>
      </c>
      <c r="I22" s="22" t="n">
        <v>1</v>
      </c>
      <c r="J22" s="27">
        <f>H22*I22</f>
        <v/>
      </c>
      <c r="K22" s="24" t="inlineStr">
        <is>
          <t>Hospital / Clinic</t>
        </is>
      </c>
      <c r="L22" s="22" t="inlineStr">
        <is>
          <t>High</t>
        </is>
      </c>
      <c r="M22" s="22" t="inlineStr">
        <is>
          <t>Planned</t>
        </is>
      </c>
      <c r="N22" s="24" t="inlineStr">
        <is>
          <t>On-site vaccination</t>
        </is>
      </c>
    </row>
    <row r="23">
      <c r="A23" s="22" t="n">
        <v>19</v>
      </c>
      <c r="B23" s="23" t="inlineStr">
        <is>
          <t>الأيام العالمية</t>
        </is>
      </c>
      <c r="C23" s="24" t="inlineStr">
        <is>
          <t>World Diabetes Day
(اليوم العالمي للسكري)</t>
        </is>
      </c>
      <c r="D23" s="22" t="inlineStr">
        <is>
          <t>14-Nov</t>
        </is>
      </c>
      <c r="E23" s="22" t="inlineStr">
        <is>
          <t>Q4</t>
        </is>
      </c>
      <c r="F23" s="22" t="inlineStr">
        <is>
          <t>November</t>
        </is>
      </c>
      <c r="G23" s="25" t="n">
        <v>300</v>
      </c>
      <c r="H23" s="26" t="n">
        <v>25</v>
      </c>
      <c r="I23" s="22" t="n">
        <v>1</v>
      </c>
      <c r="J23" s="27">
        <f>H23*I23</f>
        <v/>
      </c>
      <c r="K23" s="24" t="inlineStr">
        <is>
          <t>Health Provider</t>
        </is>
      </c>
      <c r="L23" s="22" t="inlineStr">
        <is>
          <t>Medium</t>
        </is>
      </c>
      <c r="M23" s="22" t="inlineStr">
        <is>
          <t>Planned</t>
        </is>
      </c>
      <c r="N23" s="24" t="inlineStr">
        <is>
          <t>Screening &amp; awareness</t>
        </is>
      </c>
    </row>
    <row r="24">
      <c r="A24" s="28" t="n">
        <v>20</v>
      </c>
      <c r="B24" s="29" t="inlineStr">
        <is>
          <t>الفعاليات الداخلية</t>
        </is>
      </c>
      <c r="C24" s="30" t="inlineStr">
        <is>
          <t>SERA Quarterly Friday
(جمعة سيرا الربعي)</t>
        </is>
      </c>
      <c r="D24" s="28" t="inlineStr">
        <is>
          <t>Quarterly</t>
        </is>
      </c>
      <c r="E24" s="28" t="inlineStr">
        <is>
          <t>Q1-Q4</t>
        </is>
      </c>
      <c r="F24" s="28" t="inlineStr">
        <is>
          <t>Quarterly</t>
        </is>
      </c>
      <c r="G24" s="31" t="n">
        <v>300</v>
      </c>
      <c r="H24" s="32" t="n">
        <v>120</v>
      </c>
      <c r="I24" s="28" t="n">
        <v>4</v>
      </c>
      <c r="J24" s="33">
        <f>H24*I24</f>
        <v/>
      </c>
      <c r="K24" s="30" t="inlineStr">
        <is>
          <t>Catering / In-house</t>
        </is>
      </c>
      <c r="L24" s="28" t="inlineStr">
        <is>
          <t>High</t>
        </is>
      </c>
      <c r="M24" s="28" t="inlineStr">
        <is>
          <t>Planned</t>
        </is>
      </c>
      <c r="N24" s="30" t="inlineStr">
        <is>
          <t>4 gatherings per year</t>
        </is>
      </c>
    </row>
    <row r="25">
      <c r="A25" s="28" t="n">
        <v>21</v>
      </c>
      <c r="B25" s="29" t="inlineStr">
        <is>
          <t>الفعاليات الداخلية</t>
        </is>
      </c>
      <c r="C25" s="30" t="inlineStr">
        <is>
          <t>Annual Meeting
(اللقاء السنوي)</t>
        </is>
      </c>
      <c r="D25" s="28" t="inlineStr">
        <is>
          <t>3-Feb</t>
        </is>
      </c>
      <c r="E25" s="28" t="inlineStr">
        <is>
          <t>Q1</t>
        </is>
      </c>
      <c r="F25" s="28" t="inlineStr">
        <is>
          <t>February</t>
        </is>
      </c>
      <c r="G25" s="31" t="n">
        <v>500</v>
      </c>
      <c r="H25" s="32" t="n">
        <v>200</v>
      </c>
      <c r="I25" s="28" t="n">
        <v>1</v>
      </c>
      <c r="J25" s="33">
        <f>H25*I25</f>
        <v/>
      </c>
      <c r="K25" s="30" t="inlineStr">
        <is>
          <t>Events Company</t>
        </is>
      </c>
      <c r="L25" s="28" t="inlineStr">
        <is>
          <t>High</t>
        </is>
      </c>
      <c r="M25" s="28" t="inlineStr">
        <is>
          <t>Planned</t>
        </is>
      </c>
      <c r="N25" s="30" t="inlineStr">
        <is>
          <t>Full company meeting</t>
        </is>
      </c>
    </row>
    <row r="26">
      <c r="A26" s="28" t="n">
        <v>22</v>
      </c>
      <c r="B26" s="29" t="inlineStr">
        <is>
          <t>الفعاليات الداخلية</t>
        </is>
      </c>
      <c r="C26" s="30" t="inlineStr">
        <is>
          <t>Employee Appreciation Day
(اليوم العالمي لتقدير الموظف)</t>
        </is>
      </c>
      <c r="D26" s="28" t="inlineStr">
        <is>
          <t>2-Mar</t>
        </is>
      </c>
      <c r="E26" s="28" t="inlineStr">
        <is>
          <t>Q1</t>
        </is>
      </c>
      <c r="F26" s="28" t="inlineStr">
        <is>
          <t>March</t>
        </is>
      </c>
      <c r="G26" s="31" t="n">
        <v>500</v>
      </c>
      <c r="H26" s="32" t="n">
        <v>80</v>
      </c>
      <c r="I26" s="28" t="n">
        <v>1</v>
      </c>
      <c r="J26" s="33">
        <f>H26*I26</f>
        <v/>
      </c>
      <c r="K26" s="30" t="inlineStr">
        <is>
          <t>Gifts Supplier</t>
        </is>
      </c>
      <c r="L26" s="28" t="inlineStr">
        <is>
          <t>High</t>
        </is>
      </c>
      <c r="M26" s="28" t="inlineStr">
        <is>
          <t>Planned</t>
        </is>
      </c>
      <c r="N26" s="30" t="inlineStr">
        <is>
          <t>Recognition &amp; gifts</t>
        </is>
      </c>
    </row>
    <row r="27">
      <c r="A27" s="28" t="n">
        <v>23</v>
      </c>
      <c r="B27" s="29" t="inlineStr">
        <is>
          <t>الفعاليات الداخلية</t>
        </is>
      </c>
      <c r="C27" s="30" t="inlineStr">
        <is>
          <t>International Women's Day
(يوم المرأة العالمي)</t>
        </is>
      </c>
      <c r="D27" s="28" t="inlineStr">
        <is>
          <t>8-Mar</t>
        </is>
      </c>
      <c r="E27" s="28" t="inlineStr">
        <is>
          <t>Q1</t>
        </is>
      </c>
      <c r="F27" s="28" t="inlineStr">
        <is>
          <t>March</t>
        </is>
      </c>
      <c r="G27" s="31" t="n">
        <v>250</v>
      </c>
      <c r="H27" s="32" t="n">
        <v>100</v>
      </c>
      <c r="I27" s="28" t="n">
        <v>1</v>
      </c>
      <c r="J27" s="33">
        <f>H27*I27</f>
        <v/>
      </c>
      <c r="K27" s="30" t="inlineStr">
        <is>
          <t>Events / Florist</t>
        </is>
      </c>
      <c r="L27" s="28" t="inlineStr">
        <is>
          <t>High</t>
        </is>
      </c>
      <c r="M27" s="28" t="inlineStr">
        <is>
          <t>Planned</t>
        </is>
      </c>
      <c r="N27" s="30" t="inlineStr">
        <is>
          <t>Celebration &amp; gifts</t>
        </is>
      </c>
    </row>
    <row r="28">
      <c r="A28" s="28" t="n">
        <v>24</v>
      </c>
      <c r="B28" s="29" t="inlineStr">
        <is>
          <t>الفعاليات الداخلية</t>
        </is>
      </c>
      <c r="C28" s="30" t="inlineStr">
        <is>
          <t>Flag Day
(يوم العلم)</t>
        </is>
      </c>
      <c r="D28" s="28" t="inlineStr">
        <is>
          <t>11-Mar</t>
        </is>
      </c>
      <c r="E28" s="28" t="inlineStr">
        <is>
          <t>Q1</t>
        </is>
      </c>
      <c r="F28" s="28" t="inlineStr">
        <is>
          <t>March</t>
        </is>
      </c>
      <c r="G28" s="31" t="n">
        <v>500</v>
      </c>
      <c r="H28" s="32" t="n">
        <v>30</v>
      </c>
      <c r="I28" s="28" t="n">
        <v>1</v>
      </c>
      <c r="J28" s="33">
        <f>H28*I28</f>
        <v/>
      </c>
      <c r="K28" s="30" t="inlineStr">
        <is>
          <t>Print / Decor Vendor</t>
        </is>
      </c>
      <c r="L28" s="28" t="inlineStr">
        <is>
          <t>Medium</t>
        </is>
      </c>
      <c r="M28" s="28" t="inlineStr">
        <is>
          <t>Planned</t>
        </is>
      </c>
      <c r="N28" s="30" t="inlineStr">
        <is>
          <t>Decorations &amp; pins</t>
        </is>
      </c>
    </row>
    <row r="29">
      <c r="A29" s="28" t="n">
        <v>25</v>
      </c>
      <c r="B29" s="29" t="inlineStr">
        <is>
          <t>الفعاليات الداخلية</t>
        </is>
      </c>
      <c r="C29" s="30" t="inlineStr">
        <is>
          <t>Ramadan Iftar
(الإفطار الرمضاني - مناصفة مع إدارة الفعاليات)</t>
        </is>
      </c>
      <c r="D29" s="28" t="inlineStr">
        <is>
          <t>TBD-Mar</t>
        </is>
      </c>
      <c r="E29" s="28" t="inlineStr">
        <is>
          <t>Q1</t>
        </is>
      </c>
      <c r="F29" s="28" t="inlineStr">
        <is>
          <t>March</t>
        </is>
      </c>
      <c r="G29" s="31" t="n">
        <v>500</v>
      </c>
      <c r="H29" s="32" t="n">
        <v>150</v>
      </c>
      <c r="I29" s="28" t="n">
        <v>1</v>
      </c>
      <c r="J29" s="33">
        <f>H29*I29</f>
        <v/>
      </c>
      <c r="K29" s="30" t="inlineStr">
        <is>
          <t>Catering Company</t>
        </is>
      </c>
      <c r="L29" s="28" t="inlineStr">
        <is>
          <t>High</t>
        </is>
      </c>
      <c r="M29" s="28" t="inlineStr">
        <is>
          <t>Planned</t>
        </is>
      </c>
      <c r="N29" s="30" t="inlineStr">
        <is>
          <t>Joint with Events Mgmt (50% cost share)</t>
        </is>
      </c>
    </row>
    <row r="30">
      <c r="A30" s="28" t="n">
        <v>26</v>
      </c>
      <c r="B30" s="29" t="inlineStr">
        <is>
          <t>الفعاليات الداخلية</t>
        </is>
      </c>
      <c r="C30" s="30" t="inlineStr">
        <is>
          <t>Mother's Day
(يوم الأم)</t>
        </is>
      </c>
      <c r="D30" s="28" t="inlineStr">
        <is>
          <t>21-Mar</t>
        </is>
      </c>
      <c r="E30" s="28" t="inlineStr">
        <is>
          <t>Q1</t>
        </is>
      </c>
      <c r="F30" s="28" t="inlineStr">
        <is>
          <t>March</t>
        </is>
      </c>
      <c r="G30" s="31" t="n">
        <v>250</v>
      </c>
      <c r="H30" s="32" t="n">
        <v>60</v>
      </c>
      <c r="I30" s="28" t="n">
        <v>1</v>
      </c>
      <c r="J30" s="33">
        <f>H30*I30</f>
        <v/>
      </c>
      <c r="K30" s="30" t="inlineStr">
        <is>
          <t>Gifts / Florist</t>
        </is>
      </c>
      <c r="L30" s="28" t="inlineStr">
        <is>
          <t>Medium</t>
        </is>
      </c>
      <c r="M30" s="28" t="inlineStr">
        <is>
          <t>Planned</t>
        </is>
      </c>
      <c r="N30" s="30" t="inlineStr">
        <is>
          <t>Cards &amp; flowers</t>
        </is>
      </c>
    </row>
    <row r="31">
      <c r="A31" s="28" t="n">
        <v>27</v>
      </c>
      <c r="B31" s="29" t="inlineStr">
        <is>
          <t>الفعاليات الداخلية</t>
        </is>
      </c>
      <c r="C31" s="30" t="inlineStr">
        <is>
          <t>Eid Al-Fitr Party
(حفل عيد الفطر)</t>
        </is>
      </c>
      <c r="D31" s="28" t="inlineStr">
        <is>
          <t>TBD-Apr</t>
        </is>
      </c>
      <c r="E31" s="28" t="inlineStr">
        <is>
          <t>Q2</t>
        </is>
      </c>
      <c r="F31" s="28" t="inlineStr">
        <is>
          <t>April</t>
        </is>
      </c>
      <c r="G31" s="31" t="n">
        <v>500</v>
      </c>
      <c r="H31" s="32" t="n">
        <v>120</v>
      </c>
      <c r="I31" s="28" t="n">
        <v>1</v>
      </c>
      <c r="J31" s="33">
        <f>H31*I31</f>
        <v/>
      </c>
      <c r="K31" s="30" t="inlineStr">
        <is>
          <t>Events / Catering</t>
        </is>
      </c>
      <c r="L31" s="28" t="inlineStr">
        <is>
          <t>High</t>
        </is>
      </c>
      <c r="M31" s="28" t="inlineStr">
        <is>
          <t>Planned</t>
        </is>
      </c>
      <c r="N31" s="30" t="inlineStr">
        <is>
          <t>Post-Ramadan celebration</t>
        </is>
      </c>
    </row>
    <row r="32">
      <c r="A32" s="28" t="n">
        <v>28</v>
      </c>
      <c r="B32" s="29" t="inlineStr">
        <is>
          <t>الفعاليات الداخلية</t>
        </is>
      </c>
      <c r="C32" s="30" t="inlineStr">
        <is>
          <t>World Creativity &amp; Innovation Day
(اليوم العالمي للإبداع والابتكار)</t>
        </is>
      </c>
      <c r="D32" s="28" t="inlineStr">
        <is>
          <t>21-Apr</t>
        </is>
      </c>
      <c r="E32" s="28" t="inlineStr">
        <is>
          <t>Q2</t>
        </is>
      </c>
      <c r="F32" s="28" t="inlineStr">
        <is>
          <t>April</t>
        </is>
      </c>
      <c r="G32" s="31" t="n">
        <v>200</v>
      </c>
      <c r="H32" s="32" t="n">
        <v>50</v>
      </c>
      <c r="I32" s="28" t="n">
        <v>1</v>
      </c>
      <c r="J32" s="33">
        <f>H32*I32</f>
        <v/>
      </c>
      <c r="K32" s="30" t="inlineStr">
        <is>
          <t>In-house / Speaker</t>
        </is>
      </c>
      <c r="L32" s="28" t="inlineStr">
        <is>
          <t>Medium</t>
        </is>
      </c>
      <c r="M32" s="28" t="inlineStr">
        <is>
          <t>Planned</t>
        </is>
      </c>
      <c r="N32" s="30" t="inlineStr">
        <is>
          <t>Innovation workshops</t>
        </is>
      </c>
    </row>
    <row r="33">
      <c r="A33" s="28" t="n">
        <v>29</v>
      </c>
      <c r="B33" s="29" t="inlineStr">
        <is>
          <t>الفعاليات الداخلية</t>
        </is>
      </c>
      <c r="C33" s="30" t="inlineStr">
        <is>
          <t>Tea Day
(يوم الشاي)</t>
        </is>
      </c>
      <c r="D33" s="28" t="inlineStr">
        <is>
          <t>21-May</t>
        </is>
      </c>
      <c r="E33" s="28" t="inlineStr">
        <is>
          <t>Q2</t>
        </is>
      </c>
      <c r="F33" s="28" t="inlineStr">
        <is>
          <t>May</t>
        </is>
      </c>
      <c r="G33" s="31" t="n">
        <v>300</v>
      </c>
      <c r="H33" s="32" t="n">
        <v>25</v>
      </c>
      <c r="I33" s="28" t="n">
        <v>1</v>
      </c>
      <c r="J33" s="33">
        <f>H33*I33</f>
        <v/>
      </c>
      <c r="K33" s="30" t="inlineStr">
        <is>
          <t>Catering / Tea Vendor</t>
        </is>
      </c>
      <c r="L33" s="28" t="inlineStr">
        <is>
          <t>Low</t>
        </is>
      </c>
      <c r="M33" s="28" t="inlineStr">
        <is>
          <t>Planned</t>
        </is>
      </c>
      <c r="N33" s="30" t="inlineStr">
        <is>
          <t>Tea tasting event</t>
        </is>
      </c>
    </row>
    <row r="34">
      <c r="A34" s="28" t="n">
        <v>30</v>
      </c>
      <c r="B34" s="29" t="inlineStr">
        <is>
          <t>الفعاليات الداخلية</t>
        </is>
      </c>
      <c r="C34" s="30" t="inlineStr">
        <is>
          <t>Eid Al-Adha Party
(حفل عيد الأضحى)</t>
        </is>
      </c>
      <c r="D34" s="28" t="inlineStr">
        <is>
          <t>TBD-Jun</t>
        </is>
      </c>
      <c r="E34" s="28" t="inlineStr">
        <is>
          <t>Q2</t>
        </is>
      </c>
      <c r="F34" s="28" t="inlineStr">
        <is>
          <t>June</t>
        </is>
      </c>
      <c r="G34" s="31" t="n">
        <v>500</v>
      </c>
      <c r="H34" s="32" t="n">
        <v>120</v>
      </c>
      <c r="I34" s="28" t="n">
        <v>1</v>
      </c>
      <c r="J34" s="33">
        <f>H34*I34</f>
        <v/>
      </c>
      <c r="K34" s="30" t="inlineStr">
        <is>
          <t>Events / Catering</t>
        </is>
      </c>
      <c r="L34" s="28" t="inlineStr">
        <is>
          <t>High</t>
        </is>
      </c>
      <c r="M34" s="28" t="inlineStr">
        <is>
          <t>Planned</t>
        </is>
      </c>
      <c r="N34" s="30" t="inlineStr">
        <is>
          <t>Celebration event</t>
        </is>
      </c>
    </row>
    <row r="35">
      <c r="A35" s="28" t="n">
        <v>31</v>
      </c>
      <c r="B35" s="29" t="inlineStr">
        <is>
          <t>الفعاليات الداخلية</t>
        </is>
      </c>
      <c r="C35" s="30" t="inlineStr">
        <is>
          <t>World Father's Day
(يوم الأب العالمي)</t>
        </is>
      </c>
      <c r="D35" s="28" t="inlineStr">
        <is>
          <t>15-Jun</t>
        </is>
      </c>
      <c r="E35" s="28" t="inlineStr">
        <is>
          <t>Q2</t>
        </is>
      </c>
      <c r="F35" s="28" t="inlineStr">
        <is>
          <t>June</t>
        </is>
      </c>
      <c r="G35" s="31" t="n">
        <v>250</v>
      </c>
      <c r="H35" s="32" t="n">
        <v>50</v>
      </c>
      <c r="I35" s="28" t="n">
        <v>1</v>
      </c>
      <c r="J35" s="33">
        <f>H35*I35</f>
        <v/>
      </c>
      <c r="K35" s="30" t="inlineStr">
        <is>
          <t>Gifts Supplier</t>
        </is>
      </c>
      <c r="L35" s="28" t="inlineStr">
        <is>
          <t>Low</t>
        </is>
      </c>
      <c r="M35" s="28" t="inlineStr">
        <is>
          <t>Planned</t>
        </is>
      </c>
      <c r="N35" s="30" t="inlineStr">
        <is>
          <t>Cards &amp; gifts</t>
        </is>
      </c>
    </row>
    <row r="36">
      <c r="A36" s="28" t="n">
        <v>32</v>
      </c>
      <c r="B36" s="29" t="inlineStr">
        <is>
          <t>الفعاليات الداخلية</t>
        </is>
      </c>
      <c r="C36" s="30" t="inlineStr">
        <is>
          <t>SERA Summer
(صيف SERA)</t>
        </is>
      </c>
      <c r="D36" s="28" t="inlineStr">
        <is>
          <t>20-Jul</t>
        </is>
      </c>
      <c r="E36" s="28" t="inlineStr">
        <is>
          <t>Q3</t>
        </is>
      </c>
      <c r="F36" s="28" t="inlineStr">
        <is>
          <t>July</t>
        </is>
      </c>
      <c r="G36" s="31" t="n">
        <v>300</v>
      </c>
      <c r="H36" s="32" t="n">
        <v>100</v>
      </c>
      <c r="I36" s="28" t="n">
        <v>1</v>
      </c>
      <c r="J36" s="33">
        <f>H36*I36</f>
        <v/>
      </c>
      <c r="K36" s="30" t="inlineStr">
        <is>
          <t>Events Company</t>
        </is>
      </c>
      <c r="L36" s="28" t="inlineStr">
        <is>
          <t>High</t>
        </is>
      </c>
      <c r="M36" s="28" t="inlineStr">
        <is>
          <t>Planned</t>
        </is>
      </c>
      <c r="N36" s="30" t="inlineStr">
        <is>
          <t>Summer activities</t>
        </is>
      </c>
    </row>
    <row r="37">
      <c r="A37" s="28" t="n">
        <v>33</v>
      </c>
      <c r="B37" s="29" t="inlineStr">
        <is>
          <t>الفعاليات الداخلية</t>
        </is>
      </c>
      <c r="C37" s="30" t="inlineStr">
        <is>
          <t>SERA Winter
(شتوية SERA)</t>
        </is>
      </c>
      <c r="D37" s="28" t="inlineStr">
        <is>
          <t>19-Aug</t>
        </is>
      </c>
      <c r="E37" s="28" t="inlineStr">
        <is>
          <t>Q3</t>
        </is>
      </c>
      <c r="F37" s="28" t="inlineStr">
        <is>
          <t>August</t>
        </is>
      </c>
      <c r="G37" s="31" t="n">
        <v>300</v>
      </c>
      <c r="H37" s="32" t="n">
        <v>100</v>
      </c>
      <c r="I37" s="28" t="n">
        <v>1</v>
      </c>
      <c r="J37" s="33">
        <f>H37*I37</f>
        <v/>
      </c>
      <c r="K37" s="30" t="inlineStr">
        <is>
          <t>Events Company</t>
        </is>
      </c>
      <c r="L37" s="28" t="inlineStr">
        <is>
          <t>High</t>
        </is>
      </c>
      <c r="M37" s="28" t="inlineStr">
        <is>
          <t>Planned</t>
        </is>
      </c>
      <c r="N37" s="30" t="inlineStr">
        <is>
          <t>Winter activities</t>
        </is>
      </c>
    </row>
    <row r="38">
      <c r="A38" s="28" t="n">
        <v>34</v>
      </c>
      <c r="B38" s="29" t="inlineStr">
        <is>
          <t>الفعاليات الداخلية</t>
        </is>
      </c>
      <c r="C38" s="30" t="inlineStr">
        <is>
          <t>World Coffee Day
(اليوم العالمي للقهوة)</t>
        </is>
      </c>
      <c r="D38" s="28" t="inlineStr">
        <is>
          <t>1-Oct</t>
        </is>
      </c>
      <c r="E38" s="28" t="inlineStr">
        <is>
          <t>Q4</t>
        </is>
      </c>
      <c r="F38" s="28" t="inlineStr">
        <is>
          <t>October</t>
        </is>
      </c>
      <c r="G38" s="31" t="n">
        <v>300</v>
      </c>
      <c r="H38" s="32" t="n">
        <v>30</v>
      </c>
      <c r="I38" s="28" t="n">
        <v>1</v>
      </c>
      <c r="J38" s="33">
        <f>H38*I38</f>
        <v/>
      </c>
      <c r="K38" s="30" t="inlineStr">
        <is>
          <t>Coffee Vendor</t>
        </is>
      </c>
      <c r="L38" s="28" t="inlineStr">
        <is>
          <t>Low</t>
        </is>
      </c>
      <c r="M38" s="28" t="inlineStr">
        <is>
          <t>Planned</t>
        </is>
      </c>
      <c r="N38" s="30" t="inlineStr">
        <is>
          <t>Coffee tasting</t>
        </is>
      </c>
    </row>
    <row r="39">
      <c r="A39" s="28" t="n">
        <v>35</v>
      </c>
      <c r="B39" s="29" t="inlineStr">
        <is>
          <t>الفعاليات الداخلية</t>
        </is>
      </c>
      <c r="C39" s="30" t="inlineStr">
        <is>
          <t>World Savings Day
(اليوم العالمي للادخار)</t>
        </is>
      </c>
      <c r="D39" s="28" t="inlineStr">
        <is>
          <t>31-Oct</t>
        </is>
      </c>
      <c r="E39" s="28" t="inlineStr">
        <is>
          <t>Q4</t>
        </is>
      </c>
      <c r="F39" s="28" t="inlineStr">
        <is>
          <t>October</t>
        </is>
      </c>
      <c r="G39" s="31" t="n">
        <v>300</v>
      </c>
      <c r="H39" s="32" t="n">
        <v>20</v>
      </c>
      <c r="I39" s="28" t="n">
        <v>1</v>
      </c>
      <c r="J39" s="33">
        <f>H39*I39</f>
        <v/>
      </c>
      <c r="K39" s="30" t="inlineStr">
        <is>
          <t>In-house / Bank Partner</t>
        </is>
      </c>
      <c r="L39" s="28" t="inlineStr">
        <is>
          <t>Low</t>
        </is>
      </c>
      <c r="M39" s="28" t="inlineStr">
        <is>
          <t>Planned</t>
        </is>
      </c>
      <c r="N39" s="30" t="inlineStr">
        <is>
          <t>Financial literacy</t>
        </is>
      </c>
    </row>
    <row r="40">
      <c r="A40" s="28" t="n">
        <v>36</v>
      </c>
      <c r="B40" s="29" t="inlineStr">
        <is>
          <t>الفعاليات الداخلية</t>
        </is>
      </c>
      <c r="C40" s="30" t="inlineStr">
        <is>
          <t>Cybersecurity Exhibition
(معرض الأمن السيبراني)</t>
        </is>
      </c>
      <c r="D40" s="28" t="inlineStr">
        <is>
          <t>TBD</t>
        </is>
      </c>
      <c r="E40" s="28" t="inlineStr">
        <is>
          <t>Q3</t>
        </is>
      </c>
      <c r="F40" s="28" t="inlineStr">
        <is>
          <t>TBD</t>
        </is>
      </c>
      <c r="G40" s="31" t="n">
        <v>300</v>
      </c>
      <c r="H40" s="32" t="n">
        <v>80</v>
      </c>
      <c r="I40" s="28" t="n">
        <v>1</v>
      </c>
      <c r="J40" s="33">
        <f>H40*I40</f>
        <v/>
      </c>
      <c r="K40" s="30" t="inlineStr">
        <is>
          <t>IT / Cybersec Vendor</t>
        </is>
      </c>
      <c r="L40" s="28" t="inlineStr">
        <is>
          <t>High</t>
        </is>
      </c>
      <c r="M40" s="28" t="inlineStr">
        <is>
          <t>Planned</t>
        </is>
      </c>
      <c r="N40" s="30" t="inlineStr">
        <is>
          <t>Security awareness</t>
        </is>
      </c>
    </row>
    <row r="41">
      <c r="A41" s="28" t="n">
        <v>37</v>
      </c>
      <c r="B41" s="29" t="inlineStr">
        <is>
          <t>الفعاليات الداخلية</t>
        </is>
      </c>
      <c r="C41" s="30" t="inlineStr">
        <is>
          <t>Transformation Activities
(أنشطة ومبادرات التحول - مكتب التحول)</t>
        </is>
      </c>
      <c r="D41" s="28" t="inlineStr">
        <is>
          <t>TBD</t>
        </is>
      </c>
      <c r="E41" s="28" t="inlineStr">
        <is>
          <t>Q2-Q3</t>
        </is>
      </c>
      <c r="F41" s="28" t="inlineStr">
        <is>
          <t>TBD</t>
        </is>
      </c>
      <c r="G41" s="31" t="n">
        <v>200</v>
      </c>
      <c r="H41" s="32" t="n">
        <v>50</v>
      </c>
      <c r="I41" s="28" t="n">
        <v>1</v>
      </c>
      <c r="J41" s="33">
        <f>H41*I41</f>
        <v/>
      </c>
      <c r="K41" s="30" t="inlineStr">
        <is>
          <t>Transformation Office</t>
        </is>
      </c>
      <c r="L41" s="28" t="inlineStr">
        <is>
          <t>Medium</t>
        </is>
      </c>
      <c r="M41" s="28" t="inlineStr">
        <is>
          <t>Planned</t>
        </is>
      </c>
      <c r="N41" s="30" t="inlineStr">
        <is>
          <t>In coordination with TMO</t>
        </is>
      </c>
    </row>
    <row r="42">
      <c r="A42" s="28" t="n">
        <v>38</v>
      </c>
      <c r="B42" s="29" t="inlineStr">
        <is>
          <t>الفعاليات الداخلية</t>
        </is>
      </c>
      <c r="C42" s="30" t="inlineStr">
        <is>
          <t>Strategy &amp; Quality Day
(مبادرات الاستراتيجية - يوم الجودة العالمي)</t>
        </is>
      </c>
      <c r="D42" s="28" t="inlineStr">
        <is>
          <t>10-Nov</t>
        </is>
      </c>
      <c r="E42" s="28" t="inlineStr">
        <is>
          <t>Q4</t>
        </is>
      </c>
      <c r="F42" s="28" t="inlineStr">
        <is>
          <t>November</t>
        </is>
      </c>
      <c r="G42" s="31" t="n">
        <v>200</v>
      </c>
      <c r="H42" s="32" t="n">
        <v>50</v>
      </c>
      <c r="I42" s="28" t="n">
        <v>1</v>
      </c>
      <c r="J42" s="33">
        <f>H42*I42</f>
        <v/>
      </c>
      <c r="K42" s="30" t="inlineStr">
        <is>
          <t>Strategy Dept</t>
        </is>
      </c>
      <c r="L42" s="28" t="inlineStr">
        <is>
          <t>Medium</t>
        </is>
      </c>
      <c r="M42" s="28" t="inlineStr">
        <is>
          <t>Planned</t>
        </is>
      </c>
      <c r="N42" s="30" t="inlineStr">
        <is>
          <t>Strategy awareness</t>
        </is>
      </c>
    </row>
    <row r="43">
      <c r="A43" s="28" t="n">
        <v>39</v>
      </c>
      <c r="B43" s="29" t="inlineStr">
        <is>
          <t>الفعاليات الداخلية</t>
        </is>
      </c>
      <c r="C43" s="30" t="inlineStr">
        <is>
          <t>International Men's Day
(اليوم العالمي للرجل - فعالية داخلية)</t>
        </is>
      </c>
      <c r="D43" s="28" t="inlineStr">
        <is>
          <t>19-Nov</t>
        </is>
      </c>
      <c r="E43" s="28" t="inlineStr">
        <is>
          <t>Q4</t>
        </is>
      </c>
      <c r="F43" s="28" t="inlineStr">
        <is>
          <t>November</t>
        </is>
      </c>
      <c r="G43" s="31" t="n">
        <v>250</v>
      </c>
      <c r="H43" s="32" t="n">
        <v>50</v>
      </c>
      <c r="I43" s="28" t="n">
        <v>1</v>
      </c>
      <c r="J43" s="33">
        <f>H43*I43</f>
        <v/>
      </c>
      <c r="K43" s="30" t="inlineStr">
        <is>
          <t>In-house</t>
        </is>
      </c>
      <c r="L43" s="28" t="inlineStr">
        <is>
          <t>Low</t>
        </is>
      </c>
      <c r="M43" s="28" t="inlineStr">
        <is>
          <t>Planned</t>
        </is>
      </c>
      <c r="N43" s="30" t="inlineStr">
        <is>
          <t>Internal celebration</t>
        </is>
      </c>
    </row>
    <row r="44">
      <c r="A44" s="28" t="n">
        <v>40</v>
      </c>
      <c r="B44" s="29" t="inlineStr">
        <is>
          <t>الفعاليات الداخلية</t>
        </is>
      </c>
      <c r="C44" s="30" t="inlineStr">
        <is>
          <t>World Children's Day
(اليوم العالمي للطفل)</t>
        </is>
      </c>
      <c r="D44" s="28" t="inlineStr">
        <is>
          <t>20-Nov</t>
        </is>
      </c>
      <c r="E44" s="28" t="inlineStr">
        <is>
          <t>Q4</t>
        </is>
      </c>
      <c r="F44" s="28" t="inlineStr">
        <is>
          <t>November</t>
        </is>
      </c>
      <c r="G44" s="31" t="n">
        <v>150</v>
      </c>
      <c r="H44" s="32" t="n">
        <v>80</v>
      </c>
      <c r="I44" s="28" t="n">
        <v>1</v>
      </c>
      <c r="J44" s="33">
        <f>H44*I44</f>
        <v/>
      </c>
      <c r="K44" s="30" t="inlineStr">
        <is>
          <t>Events / Activities</t>
        </is>
      </c>
      <c r="L44" s="28" t="inlineStr">
        <is>
          <t>Medium</t>
        </is>
      </c>
      <c r="M44" s="28" t="inlineStr">
        <is>
          <t>Planned</t>
        </is>
      </c>
      <c r="N44" s="30" t="inlineStr">
        <is>
          <t>Kids activities for employees' children</t>
        </is>
      </c>
    </row>
    <row r="45">
      <c r="A45" s="28" t="n">
        <v>41</v>
      </c>
      <c r="B45" s="29" t="inlineStr">
        <is>
          <t>الفعاليات الداخلية</t>
        </is>
      </c>
      <c r="C45" s="30" t="inlineStr">
        <is>
          <t>International Anti-Corruption Day
(اليوم العالمي لمكافحة الفساد)</t>
        </is>
      </c>
      <c r="D45" s="28" t="inlineStr">
        <is>
          <t>9-Dec</t>
        </is>
      </c>
      <c r="E45" s="28" t="inlineStr">
        <is>
          <t>Q4</t>
        </is>
      </c>
      <c r="F45" s="28" t="inlineStr">
        <is>
          <t>December</t>
        </is>
      </c>
      <c r="G45" s="31" t="n">
        <v>300</v>
      </c>
      <c r="H45" s="32" t="n">
        <v>25</v>
      </c>
      <c r="I45" s="28" t="n">
        <v>1</v>
      </c>
      <c r="J45" s="33">
        <f>H45*I45</f>
        <v/>
      </c>
      <c r="K45" s="30" t="inlineStr">
        <is>
          <t>In-house / Nazaha</t>
        </is>
      </c>
      <c r="L45" s="28" t="inlineStr">
        <is>
          <t>Medium</t>
        </is>
      </c>
      <c r="M45" s="28" t="inlineStr">
        <is>
          <t>Planned</t>
        </is>
      </c>
      <c r="N45" s="30" t="inlineStr">
        <is>
          <t>Awareness campaign</t>
        </is>
      </c>
    </row>
    <row r="46">
      <c r="A46" s="28" t="n">
        <v>42</v>
      </c>
      <c r="B46" s="29" t="inlineStr">
        <is>
          <t>الفعاليات الداخلية</t>
        </is>
      </c>
      <c r="C46" s="30" t="inlineStr">
        <is>
          <t>Ideal Office
(المكتب المثالي)</t>
        </is>
      </c>
      <c r="D46" s="28" t="inlineStr">
        <is>
          <t>TBD</t>
        </is>
      </c>
      <c r="E46" s="28" t="inlineStr">
        <is>
          <t>Q3</t>
        </is>
      </c>
      <c r="F46" s="28" t="inlineStr">
        <is>
          <t>TBD</t>
        </is>
      </c>
      <c r="G46" s="31" t="n">
        <v>500</v>
      </c>
      <c r="H46" s="32" t="n">
        <v>40</v>
      </c>
      <c r="I46" s="28" t="n">
        <v>1</v>
      </c>
      <c r="J46" s="33">
        <f>H46*I46</f>
        <v/>
      </c>
      <c r="K46" s="30" t="inlineStr">
        <is>
          <t>In-house</t>
        </is>
      </c>
      <c r="L46" s="28" t="inlineStr">
        <is>
          <t>Medium</t>
        </is>
      </c>
      <c r="M46" s="28" t="inlineStr">
        <is>
          <t>Planned</t>
        </is>
      </c>
      <c r="N46" s="30" t="inlineStr">
        <is>
          <t>Office competition</t>
        </is>
      </c>
    </row>
    <row r="47">
      <c r="A47" s="28" t="n">
        <v>43</v>
      </c>
      <c r="B47" s="29" t="inlineStr">
        <is>
          <t>الفعاليات الداخلية</t>
        </is>
      </c>
      <c r="C47" s="30" t="inlineStr">
        <is>
          <t>World Arabic Language Day
(اليوم العالمي للغة العربية)</t>
        </is>
      </c>
      <c r="D47" s="28" t="inlineStr">
        <is>
          <t>18-Dec</t>
        </is>
      </c>
      <c r="E47" s="28" t="inlineStr">
        <is>
          <t>Q4</t>
        </is>
      </c>
      <c r="F47" s="28" t="inlineStr">
        <is>
          <t>December</t>
        </is>
      </c>
      <c r="G47" s="31" t="n">
        <v>300</v>
      </c>
      <c r="H47" s="32" t="n">
        <v>30</v>
      </c>
      <c r="I47" s="28" t="n">
        <v>1</v>
      </c>
      <c r="J47" s="33">
        <f>H47*I47</f>
        <v/>
      </c>
      <c r="K47" s="30" t="inlineStr">
        <is>
          <t>In-house / Cultural</t>
        </is>
      </c>
      <c r="L47" s="28" t="inlineStr">
        <is>
          <t>Medium</t>
        </is>
      </c>
      <c r="M47" s="28" t="inlineStr">
        <is>
          <t>Planned</t>
        </is>
      </c>
      <c r="N47" s="30" t="inlineStr">
        <is>
          <t>Arabic language celebration</t>
        </is>
      </c>
    </row>
    <row r="48">
      <c r="A48" s="34" t="inlineStr">
        <is>
          <t>GRAND TOTAL / الإجمالي الكلي</t>
        </is>
      </c>
      <c r="B48" s="35" t="n"/>
      <c r="C48" s="35" t="n"/>
      <c r="D48" s="35" t="n"/>
      <c r="E48" s="35" t="n"/>
      <c r="F48" s="35" t="n"/>
      <c r="G48" s="35" t="n"/>
      <c r="H48" s="35" t="n"/>
      <c r="I48" s="35" t="n"/>
      <c r="J48" s="36">
        <f>SUM(J5:J47)</f>
        <v/>
      </c>
      <c r="K48" s="35" t="n"/>
      <c r="L48" s="35" t="n"/>
      <c r="M48" s="35" t="n"/>
      <c r="N48" s="35" t="n"/>
    </row>
  </sheetData>
  <autoFilter ref="A4:N47"/>
  <mergeCells count="3">
    <mergeCell ref="A48:I48"/>
    <mergeCell ref="A2:N2"/>
    <mergeCell ref="A1:N1"/>
  </mergeCells>
  <conditionalFormatting sqref="L5:L47">
    <cfRule type="cellIs" priority="1" operator="equal" dxfId="0">
      <formula>"High"</formula>
    </cfRule>
    <cfRule type="cellIs" priority="2" operator="equal" dxfId="1">
      <formula>"Medium"</formula>
    </cfRule>
    <cfRule type="cellIs" priority="3" operator="equal" dxfId="2">
      <formula>"Low"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0" customWidth="1" min="3" max="3"/>
    <col width="12" customWidth="1" min="4" max="4"/>
    <col width="18" customWidth="1" min="5" max="5"/>
    <col width="55" customWidth="1" min="6" max="6"/>
    <col width="10" customWidth="1" min="7" max="7"/>
  </cols>
  <sheetData>
    <row r="1">
      <c r="A1" s="1" t="inlineStr">
        <is>
          <t>SERA 2026 - Budget Summary Dashboard</t>
        </is>
      </c>
    </row>
    <row r="3">
      <c r="A3" s="37" t="inlineStr">
        <is>
          <t>Budget by Category</t>
        </is>
      </c>
    </row>
    <row r="4">
      <c r="A4" s="3" t="inlineStr">
        <is>
          <t>Category (المشروع)</t>
        </is>
      </c>
      <c r="B4" s="3" t="inlineStr">
        <is>
          <t>No. of Events</t>
        </is>
      </c>
      <c r="C4" s="3" t="inlineStr">
        <is>
          <t>Total Budget (SAR)</t>
        </is>
      </c>
      <c r="D4" s="3" t="inlineStr">
        <is>
          <t>% of Total</t>
        </is>
      </c>
      <c r="E4" s="3" t="inlineStr">
        <is>
          <t>Avg per Event (SAR)</t>
        </is>
      </c>
      <c r="F4" s="3" t="inlineStr">
        <is>
          <t>Priority Mix</t>
        </is>
      </c>
      <c r="G4" s="3" t="inlineStr">
        <is>
          <t>Status</t>
        </is>
      </c>
    </row>
    <row r="5">
      <c r="A5" s="5" t="inlineStr">
        <is>
          <t>Weekly Newsletter
(النشرة الأسبوعية)</t>
        </is>
      </c>
      <c r="B5" s="4">
        <f>COUNTIF('Events &amp; Budget'!B5:B47,"*النشرة الأسبوعية*")</f>
        <v/>
      </c>
      <c r="C5" s="9">
        <f>SUMIF('Events &amp; Budget'!B5:B47,"*النشرة الأسبوعية*",'Events &amp; Budget'!J5:J47)</f>
        <v/>
      </c>
      <c r="D5" s="38">
        <f>IF(C11&gt;0,C5/C11,0)</f>
        <v/>
      </c>
      <c r="E5" s="39">
        <f>IF(B5&gt;0,C5/B5,0)</f>
        <v/>
      </c>
      <c r="F5" s="4">
        <f>COUNTIFS('Events &amp; Budget'!B5:B47,"*النشرة الأسبوعية*",'Events &amp; Budget'!L5:L47,"High")&amp;"H / "&amp;COUNTIFS('Events &amp; Budget'!B5:B47,"*النشرة الأسبوعية*",'Events &amp; Budget'!L5:L47,"Medium")&amp;"M / "&amp;COUNTIFS('Events &amp; Budget'!B5:B47,"*النشرة الأسبوعية*",'Events &amp; Budget'!L5:L47,"Low")&amp;"L"</f>
        <v/>
      </c>
      <c r="G5" s="4" t="inlineStr">
        <is>
          <t>Planned</t>
        </is>
      </c>
    </row>
    <row r="6">
      <c r="A6" s="11" t="inlineStr">
        <is>
          <t>National Occasions
(المناسبات الوطنية)</t>
        </is>
      </c>
      <c r="B6" s="10">
        <f>COUNTIF('Events &amp; Budget'!B5:B47,"*المناسبات الوطنية*")</f>
        <v/>
      </c>
      <c r="C6" s="15">
        <f>SUMIF('Events &amp; Budget'!B5:B47,"*المناسبات الوطنية*",'Events &amp; Budget'!J5:J47)</f>
        <v/>
      </c>
      <c r="D6" s="40">
        <f>IF(C12&gt;0,C6/C12,0)</f>
        <v/>
      </c>
      <c r="E6" s="41">
        <f>IF(B6&gt;0,C6/B6,0)</f>
        <v/>
      </c>
      <c r="F6" s="10">
        <f>COUNTIFS('Events &amp; Budget'!B5:B47,"*المناسبات الوطنية*",'Events &amp; Budget'!L5:L47,"High")&amp;"H / "&amp;COUNTIFS('Events &amp; Budget'!B5:B47,"*المناسبات الوطنية*",'Events &amp; Budget'!L5:L47,"Medium")&amp;"M / "&amp;COUNTIFS('Events &amp; Budget'!B5:B47,"*المناسبات الوطنية*",'Events &amp; Budget'!L5:L47,"Low")&amp;"L"</f>
        <v/>
      </c>
      <c r="G6" s="10" t="inlineStr">
        <is>
          <t>Planned</t>
        </is>
      </c>
    </row>
    <row r="7">
      <c r="A7" s="17" t="inlineStr">
        <is>
          <t>Sports/Tournaments
(بطولات)</t>
        </is>
      </c>
      <c r="B7" s="16">
        <f>COUNTIF('Events &amp; Budget'!B5:B47,"*بطولات*")</f>
        <v/>
      </c>
      <c r="C7" s="21">
        <f>SUMIF('Events &amp; Budget'!B5:B47,"*بطولات*",'Events &amp; Budget'!J5:J47)</f>
        <v/>
      </c>
      <c r="D7" s="42">
        <f>IF(C13&gt;0,C7/C13,0)</f>
        <v/>
      </c>
      <c r="E7" s="43">
        <f>IF(B7&gt;0,C7/B7,0)</f>
        <v/>
      </c>
      <c r="F7" s="16">
        <f>COUNTIFS('Events &amp; Budget'!B5:B47,"*بطولات*",'Events &amp; Budget'!L5:L47,"High")&amp;"H / "&amp;COUNTIFS('Events &amp; Budget'!B5:B47,"*بطولات*",'Events &amp; Budget'!L5:L47,"Medium")&amp;"M / "&amp;COUNTIFS('Events &amp; Budget'!B5:B47,"*بطولات*",'Events &amp; Budget'!L5:L47,"Low")&amp;"L"</f>
        <v/>
      </c>
      <c r="G7" s="16" t="inlineStr">
        <is>
          <t>Planned</t>
        </is>
      </c>
    </row>
    <row r="8">
      <c r="A8" s="5" t="inlineStr">
        <is>
          <t>CSR
(المسؤولية الاجتماعية)</t>
        </is>
      </c>
      <c r="B8" s="4">
        <f>COUNTIF('Events &amp; Budget'!B5:B47,"*المسؤولية الاجتماعية*")</f>
        <v/>
      </c>
      <c r="C8" s="9">
        <f>SUMIF('Events &amp; Budget'!B5:B47,"*المسؤولية الاجتماعية*",'Events &amp; Budget'!J5:J47)</f>
        <v/>
      </c>
      <c r="D8" s="38">
        <f>IF(C14&gt;0,C8/C14,0)</f>
        <v/>
      </c>
      <c r="E8" s="39">
        <f>IF(B8&gt;0,C8/B8,0)</f>
        <v/>
      </c>
      <c r="F8" s="4">
        <f>COUNTIFS('Events &amp; Budget'!B5:B47,"*المسؤولية الاجتماعية*",'Events &amp; Budget'!L5:L47,"High")&amp;"H / "&amp;COUNTIFS('Events &amp; Budget'!B5:B47,"*المسؤولية الاجتماعية*",'Events &amp; Budget'!L5:L47,"Medium")&amp;"M / "&amp;COUNTIFS('Events &amp; Budget'!B5:B47,"*المسؤولية الاجتماعية*",'Events &amp; Budget'!L5:L47,"Low")&amp;"L"</f>
        <v/>
      </c>
      <c r="G8" s="4" t="inlineStr">
        <is>
          <t>Planned</t>
        </is>
      </c>
    </row>
    <row r="9">
      <c r="A9" s="23" t="inlineStr">
        <is>
          <t>International Days
(الأيام العالمية)</t>
        </is>
      </c>
      <c r="B9" s="22">
        <f>COUNTIF('Events &amp; Budget'!B5:B47,"*الأيام العالمية*")</f>
        <v/>
      </c>
      <c r="C9" s="27">
        <f>SUMIF('Events &amp; Budget'!B5:B47,"*الأيام العالمية*",'Events &amp; Budget'!J5:J47)</f>
        <v/>
      </c>
      <c r="D9" s="44">
        <f>IF(C15&gt;0,C9/C15,0)</f>
        <v/>
      </c>
      <c r="E9" s="45">
        <f>IF(B9&gt;0,C9/B9,0)</f>
        <v/>
      </c>
      <c r="F9" s="22">
        <f>COUNTIFS('Events &amp; Budget'!B5:B47,"*الأيام العالمية*",'Events &amp; Budget'!L5:L47,"High")&amp;"H / "&amp;COUNTIFS('Events &amp; Budget'!B5:B47,"*الأيام العالمية*",'Events &amp; Budget'!L5:L47,"Medium")&amp;"M / "&amp;COUNTIFS('Events &amp; Budget'!B5:B47,"*الأيام العالمية*",'Events &amp; Budget'!L5:L47,"Low")&amp;"L"</f>
        <v/>
      </c>
      <c r="G9" s="22" t="inlineStr">
        <is>
          <t>Planned</t>
        </is>
      </c>
    </row>
    <row r="10">
      <c r="A10" s="29" t="inlineStr">
        <is>
          <t>Internal Events
(الفعاليات الداخلية)</t>
        </is>
      </c>
      <c r="B10" s="28">
        <f>COUNTIF('Events &amp; Budget'!B5:B47,"*الفعاليات الداخلية*")</f>
        <v/>
      </c>
      <c r="C10" s="33">
        <f>SUMIF('Events &amp; Budget'!B5:B47,"*الفعاليات الداخلية*",'Events &amp; Budget'!J5:J47)</f>
        <v/>
      </c>
      <c r="D10" s="46">
        <f>IF(C16&gt;0,C10/C16,0)</f>
        <v/>
      </c>
      <c r="E10" s="47">
        <f>IF(B10&gt;0,C10/B10,0)</f>
        <v/>
      </c>
      <c r="F10" s="28">
        <f>COUNTIFS('Events &amp; Budget'!B5:B47,"*الفعاليات الداخلية*",'Events &amp; Budget'!L5:L47,"High")&amp;"H / "&amp;COUNTIFS('Events &amp; Budget'!B5:B47,"*الفعاليات الداخلية*",'Events &amp; Budget'!L5:L47,"Medium")&amp;"M / "&amp;COUNTIFS('Events &amp; Budget'!B5:B47,"*الفعاليات الداخلية*",'Events &amp; Budget'!L5:L47,"Low")&amp;"L"</f>
        <v/>
      </c>
      <c r="G10" s="28" t="inlineStr">
        <is>
          <t>Planned</t>
        </is>
      </c>
    </row>
    <row r="11">
      <c r="A11" s="34" t="inlineStr">
        <is>
          <t>TOTAL</t>
        </is>
      </c>
      <c r="B11" s="48">
        <f>SUM(B5:B10)</f>
        <v/>
      </c>
      <c r="C11" s="36">
        <f>SUM(C5:C10)</f>
        <v/>
      </c>
      <c r="D11" s="49" t="n">
        <v>1</v>
      </c>
      <c r="E11" s="50">
        <f>IF(B11&gt;0,C11/B11,0)</f>
        <v/>
      </c>
      <c r="F11" s="35" t="n"/>
      <c r="G11" s="35" t="n"/>
    </row>
    <row r="14">
      <c r="A14" s="37" t="inlineStr">
        <is>
          <t>Budget by Quarter</t>
        </is>
      </c>
    </row>
    <row r="15">
      <c r="A15" s="3" t="inlineStr">
        <is>
          <t>Quarter</t>
        </is>
      </c>
      <c r="B15" s="3" t="inlineStr">
        <is>
          <t>No. of Events</t>
        </is>
      </c>
      <c r="C15" s="3" t="inlineStr">
        <is>
          <t>Total Budget (SAR)</t>
        </is>
      </c>
      <c r="D15" s="3" t="inlineStr">
        <is>
          <t>% of Total</t>
        </is>
      </c>
      <c r="E15" s="3" t="inlineStr">
        <is>
          <t>Avg per Event (SAR)</t>
        </is>
      </c>
      <c r="F15" s="3" t="inlineStr">
        <is>
          <t>Key Events</t>
        </is>
      </c>
      <c r="G15" s="3" t="inlineStr"/>
    </row>
    <row r="16">
      <c r="A16" s="51" t="inlineStr">
        <is>
          <t>Q1</t>
        </is>
      </c>
      <c r="B16" s="52">
        <f>COUNTIF('Events &amp; Budget'!E5:E47,"*Q1*")</f>
        <v/>
      </c>
      <c r="C16" s="53">
        <f>SUMIF('Events &amp; Budget'!E5:E47,"*Q1*",'Events &amp; Budget'!J5:J47)</f>
        <v/>
      </c>
      <c r="D16" s="54">
        <f>IF(C11&gt;0,C16/C11,0)</f>
        <v/>
      </c>
      <c r="E16" s="55">
        <f>IF(B16&gt;0,C16/B16,0)</f>
        <v/>
      </c>
      <c r="F16" s="56" t="inlineStr">
        <is>
          <t>Foundation Day, Annual Meeting, Women's Day, Ramadan Iftar</t>
        </is>
      </c>
    </row>
    <row r="17">
      <c r="A17" s="51" t="inlineStr">
        <is>
          <t>Q2</t>
        </is>
      </c>
      <c r="B17" s="52">
        <f>COUNTIF('Events &amp; Budget'!E5:E47,"*Q2*")</f>
        <v/>
      </c>
      <c r="C17" s="53">
        <f>SUMIF('Events &amp; Budget'!E5:E47,"*Q2*",'Events &amp; Budget'!J5:J47)</f>
        <v/>
      </c>
      <c r="D17" s="54">
        <f>IF(C11&gt;0,C17/C11,0)</f>
        <v/>
      </c>
      <c r="E17" s="55">
        <f>IF(B17&gt;0,C17/B17,0)</f>
        <v/>
      </c>
      <c r="F17" s="56" t="inlineStr">
        <is>
          <t>Eid Al-Fitr, Creativity Day, Padel Tournament, Father's Day</t>
        </is>
      </c>
    </row>
    <row r="18">
      <c r="A18" s="51" t="inlineStr">
        <is>
          <t>Q3</t>
        </is>
      </c>
      <c r="B18" s="52">
        <f>COUNTIF('Events &amp; Budget'!E5:E47,"*Q3*")</f>
        <v/>
      </c>
      <c r="C18" s="53">
        <f>SUMIF('Events &amp; Budget'!E5:E47,"*Q3*",'Events &amp; Budget'!J5:J47)</f>
        <v/>
      </c>
      <c r="D18" s="54">
        <f>IF(C11&gt;0,C18/C11,0)</f>
        <v/>
      </c>
      <c r="E18" s="55">
        <f>IF(B18&gt;0,C18/B18,0)</f>
        <v/>
      </c>
      <c r="F18" s="56" t="inlineStr">
        <is>
          <t>National Day, SERA Summer/Winter, Football, Cybersecurity</t>
        </is>
      </c>
    </row>
    <row r="19">
      <c r="A19" s="51" t="inlineStr">
        <is>
          <t>Q4</t>
        </is>
      </c>
      <c r="B19" s="52">
        <f>COUNTIF('Events &amp; Budget'!E5:E47,"*Q4*")</f>
        <v/>
      </c>
      <c r="C19" s="53">
        <f>SUMIF('Events &amp; Budget'!E5:E47,"*Q4*",'Events &amp; Budget'!J5:J47)</f>
        <v/>
      </c>
      <c r="D19" s="54">
        <f>IF(C11&gt;0,C19/C11,0)</f>
        <v/>
      </c>
      <c r="E19" s="55">
        <f>IF(B19&gt;0,C19/B19,0)</f>
        <v/>
      </c>
      <c r="F19" s="56" t="inlineStr">
        <is>
          <t>Mental Health, Breast Cancer, Coffee Day, Arabic Language Day</t>
        </is>
      </c>
    </row>
    <row r="20">
      <c r="A20" s="57" t="inlineStr">
        <is>
          <t>TOTAL</t>
        </is>
      </c>
      <c r="B20" s="48">
        <f>SUM(B16:B19)</f>
        <v/>
      </c>
      <c r="C20" s="36">
        <f>SUM(C16:C19)</f>
        <v/>
      </c>
      <c r="D20" s="35" t="n"/>
      <c r="E20" s="35" t="n"/>
      <c r="F20" s="35" t="n"/>
    </row>
    <row r="23">
      <c r="A23" s="37" t="inlineStr">
        <is>
          <t>Budget by Priority</t>
        </is>
      </c>
    </row>
    <row r="24">
      <c r="A24" s="3" t="inlineStr">
        <is>
          <t>Priority</t>
        </is>
      </c>
      <c r="B24" s="3" t="inlineStr">
        <is>
          <t>No. of Events</t>
        </is>
      </c>
      <c r="C24" s="3" t="inlineStr">
        <is>
          <t>Total Budget (SAR)</t>
        </is>
      </c>
      <c r="D24" s="3" t="inlineStr">
        <is>
          <t>% of Total</t>
        </is>
      </c>
      <c r="E24" s="3" t="inlineStr">
        <is>
          <t>Avg per Event (SAR)</t>
        </is>
      </c>
    </row>
    <row r="25">
      <c r="A25" s="51" t="inlineStr">
        <is>
          <t>High</t>
        </is>
      </c>
      <c r="B25" s="52">
        <f>COUNTIF('Events &amp; Budget'!L5:L47,"High")</f>
        <v/>
      </c>
      <c r="C25" s="53">
        <f>SUMIF('Events &amp; Budget'!L5:L47,"High",'Events &amp; Budget'!J5:J47)</f>
        <v/>
      </c>
      <c r="D25" s="54">
        <f>IF(C11&gt;0,C25/C11,0)</f>
        <v/>
      </c>
      <c r="E25" s="55">
        <f>IF(B25&gt;0,C25/B25,0)</f>
        <v/>
      </c>
    </row>
    <row r="26">
      <c r="A26" s="51" t="inlineStr">
        <is>
          <t>Medium</t>
        </is>
      </c>
      <c r="B26" s="52">
        <f>COUNTIF('Events &amp; Budget'!L5:L47,"Medium")</f>
        <v/>
      </c>
      <c r="C26" s="53">
        <f>SUMIF('Events &amp; Budget'!L5:L47,"Medium",'Events &amp; Budget'!J5:J47)</f>
        <v/>
      </c>
      <c r="D26" s="54">
        <f>IF(C11&gt;0,C26/C11,0)</f>
        <v/>
      </c>
      <c r="E26" s="55">
        <f>IF(B26&gt;0,C26/B26,0)</f>
        <v/>
      </c>
    </row>
    <row r="27">
      <c r="A27" s="51" t="inlineStr">
        <is>
          <t>Low</t>
        </is>
      </c>
      <c r="B27" s="52">
        <f>COUNTIF('Events &amp; Budget'!L5:L47,"Low")</f>
        <v/>
      </c>
      <c r="C27" s="53">
        <f>SUMIF('Events &amp; Budget'!L5:L47,"Low",'Events &amp; Budget'!J5:J47)</f>
        <v/>
      </c>
      <c r="D27" s="54">
        <f>IF(C11&gt;0,C27/C11,0)</f>
        <v/>
      </c>
      <c r="E27" s="55">
        <f>IF(B27&gt;0,C27/B27,0)</f>
        <v/>
      </c>
    </row>
    <row r="28">
      <c r="A28" s="57" t="inlineStr">
        <is>
          <t>TOTAL</t>
        </is>
      </c>
      <c r="B28" s="48">
        <f>SUM(B25:B27)</f>
        <v/>
      </c>
      <c r="C28" s="36">
        <f>SUM(C25:C27)</f>
        <v/>
      </c>
      <c r="D28" s="35" t="n"/>
      <c r="E28" s="35" t="n"/>
    </row>
  </sheetData>
  <mergeCells count="4">
    <mergeCell ref="A3:G3"/>
    <mergeCell ref="A14:G14"/>
    <mergeCell ref="A23:E23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O5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>
      <c r="A1" s="1" t="inlineStr">
        <is>
          <t>SERA 2026 - Annual Events Timeline / الخطة الزمنية</t>
        </is>
      </c>
    </row>
    <row r="2">
      <c r="D2" s="58" t="inlineStr">
        <is>
          <t>Q1</t>
        </is>
      </c>
      <c r="G2" s="58" t="inlineStr">
        <is>
          <t>Q2</t>
        </is>
      </c>
      <c r="J2" s="58" t="inlineStr">
        <is>
          <t>Q3</t>
        </is>
      </c>
      <c r="M2" s="58" t="inlineStr">
        <is>
          <t>Q4</t>
        </is>
      </c>
    </row>
    <row r="3">
      <c r="A3" s="3" t="inlineStr">
        <is>
          <t>#</t>
        </is>
      </c>
      <c r="B3" s="3" t="inlineStr">
        <is>
          <t>Event Name</t>
        </is>
      </c>
      <c r="C3" s="3" t="inlineStr">
        <is>
          <t>Category</t>
        </is>
      </c>
      <c r="D3" s="3" t="inlineStr">
        <is>
          <t>Jan</t>
        </is>
      </c>
      <c r="E3" s="3" t="inlineStr">
        <is>
          <t>Feb</t>
        </is>
      </c>
      <c r="F3" s="3" t="inlineStr">
        <is>
          <t>Mar</t>
        </is>
      </c>
      <c r="G3" s="3" t="inlineStr">
        <is>
          <t>Apr</t>
        </is>
      </c>
      <c r="H3" s="3" t="inlineStr">
        <is>
          <t>May</t>
        </is>
      </c>
      <c r="I3" s="3" t="inlineStr">
        <is>
          <t>Jun</t>
        </is>
      </c>
      <c r="J3" s="3" t="inlineStr">
        <is>
          <t>Jul</t>
        </is>
      </c>
      <c r="K3" s="3" t="inlineStr">
        <is>
          <t>Aug</t>
        </is>
      </c>
      <c r="L3" s="3" t="inlineStr">
        <is>
          <t>Sep</t>
        </is>
      </c>
      <c r="M3" s="3" t="inlineStr">
        <is>
          <t>Oct</t>
        </is>
      </c>
      <c r="N3" s="3" t="inlineStr">
        <is>
          <t>Nov</t>
        </is>
      </c>
      <c r="O3" s="3" t="inlineStr">
        <is>
          <t>Dec</t>
        </is>
      </c>
    </row>
    <row r="4">
      <c r="A4" s="4" t="n">
        <v>1</v>
      </c>
      <c r="B4" s="6" t="inlineStr">
        <is>
          <t>Weekly Newsletter</t>
        </is>
      </c>
      <c r="C4" s="6" t="inlineStr">
        <is>
          <t>النشرة الأسبوعية</t>
        </is>
      </c>
      <c r="D4" s="59" t="inlineStr">
        <is>
          <t>●</t>
        </is>
      </c>
      <c r="E4" s="59" t="inlineStr">
        <is>
          <t>●</t>
        </is>
      </c>
      <c r="F4" s="59" t="inlineStr">
        <is>
          <t>●</t>
        </is>
      </c>
      <c r="G4" s="59" t="inlineStr">
        <is>
          <t>●</t>
        </is>
      </c>
      <c r="H4" s="59" t="inlineStr">
        <is>
          <t>●</t>
        </is>
      </c>
      <c r="I4" s="59" t="inlineStr">
        <is>
          <t>●</t>
        </is>
      </c>
      <c r="J4" s="59" t="inlineStr">
        <is>
          <t>●</t>
        </is>
      </c>
      <c r="K4" s="59" t="inlineStr">
        <is>
          <t>●</t>
        </is>
      </c>
      <c r="L4" s="59" t="inlineStr">
        <is>
          <t>●</t>
        </is>
      </c>
      <c r="M4" s="59" t="inlineStr">
        <is>
          <t>●</t>
        </is>
      </c>
      <c r="N4" s="59" t="inlineStr">
        <is>
          <t>●</t>
        </is>
      </c>
      <c r="O4" s="59" t="inlineStr">
        <is>
          <t>●</t>
        </is>
      </c>
    </row>
    <row r="5">
      <c r="A5" s="10" t="n">
        <v>2</v>
      </c>
      <c r="B5" s="12" t="inlineStr">
        <is>
          <t>National Day Celebration</t>
        </is>
      </c>
      <c r="C5" s="12" t="inlineStr">
        <is>
          <t>المناسبات الوطنية</t>
        </is>
      </c>
      <c r="D5" s="60" t="n"/>
      <c r="E5" s="60" t="n"/>
      <c r="F5" s="60" t="n"/>
      <c r="G5" s="60" t="n"/>
      <c r="H5" s="60" t="n"/>
      <c r="I5" s="60" t="n"/>
      <c r="J5" s="60" t="n"/>
      <c r="K5" s="60" t="n"/>
      <c r="L5" s="61" t="inlineStr">
        <is>
          <t>★</t>
        </is>
      </c>
      <c r="M5" s="60" t="n"/>
      <c r="N5" s="60" t="n"/>
      <c r="O5" s="60" t="n"/>
    </row>
    <row r="6">
      <c r="A6" s="10" t="n">
        <v>3</v>
      </c>
      <c r="B6" s="12" t="inlineStr">
        <is>
          <t>Foundation Day</t>
        </is>
      </c>
      <c r="C6" s="12" t="inlineStr">
        <is>
          <t>المناسبات الوطنية</t>
        </is>
      </c>
      <c r="D6" s="60" t="n"/>
      <c r="E6" s="61" t="inlineStr">
        <is>
          <t>★</t>
        </is>
      </c>
      <c r="F6" s="60" t="n"/>
      <c r="G6" s="60" t="n"/>
      <c r="H6" s="60" t="n"/>
      <c r="I6" s="60" t="n"/>
      <c r="J6" s="60" t="n"/>
      <c r="K6" s="60" t="n"/>
      <c r="L6" s="60" t="n"/>
      <c r="M6" s="60" t="n"/>
      <c r="N6" s="60" t="n"/>
      <c r="O6" s="60" t="n"/>
    </row>
    <row r="7">
      <c r="A7" s="16" t="n">
        <v>4</v>
      </c>
      <c r="B7" s="18" t="inlineStr">
        <is>
          <t>Padel Tournament</t>
        </is>
      </c>
      <c r="C7" s="18" t="inlineStr">
        <is>
          <t>بطولات</t>
        </is>
      </c>
      <c r="D7" s="62" t="n"/>
      <c r="E7" s="62" t="n"/>
      <c r="F7" s="62" t="n"/>
      <c r="G7" s="63" t="inlineStr">
        <is>
          <t>?</t>
        </is>
      </c>
      <c r="H7" s="63" t="inlineStr">
        <is>
          <t>?</t>
        </is>
      </c>
      <c r="I7" s="63" t="inlineStr">
        <is>
          <t>?</t>
        </is>
      </c>
      <c r="J7" s="62" t="n"/>
      <c r="K7" s="62" t="n"/>
      <c r="L7" s="62" t="n"/>
      <c r="M7" s="62" t="n"/>
      <c r="N7" s="62" t="n"/>
      <c r="O7" s="62" t="n"/>
    </row>
    <row r="8">
      <c r="A8" s="16" t="n">
        <v>5</v>
      </c>
      <c r="B8" s="18" t="inlineStr">
        <is>
          <t>Walking Challenge</t>
        </is>
      </c>
      <c r="C8" s="18" t="inlineStr">
        <is>
          <t>بطولات</t>
        </is>
      </c>
      <c r="D8" s="63" t="inlineStr">
        <is>
          <t>?</t>
        </is>
      </c>
      <c r="E8" s="63" t="inlineStr">
        <is>
          <t>?</t>
        </is>
      </c>
      <c r="F8" s="63" t="inlineStr">
        <is>
          <t>?</t>
        </is>
      </c>
      <c r="G8" s="62" t="n"/>
      <c r="H8" s="62" t="n"/>
      <c r="I8" s="62" t="n"/>
      <c r="J8" s="62" t="n"/>
      <c r="K8" s="62" t="n"/>
      <c r="L8" s="62" t="n"/>
      <c r="M8" s="63" t="inlineStr">
        <is>
          <t>?</t>
        </is>
      </c>
      <c r="N8" s="63" t="inlineStr">
        <is>
          <t>?</t>
        </is>
      </c>
      <c r="O8" s="63" t="inlineStr">
        <is>
          <t>?</t>
        </is>
      </c>
    </row>
    <row r="9">
      <c r="A9" s="16" t="n">
        <v>6</v>
      </c>
      <c r="B9" s="18" t="inlineStr">
        <is>
          <t>Football Tournament</t>
        </is>
      </c>
      <c r="C9" s="18" t="inlineStr">
        <is>
          <t>بطولات</t>
        </is>
      </c>
      <c r="D9" s="62" t="n"/>
      <c r="E9" s="62" t="n"/>
      <c r="F9" s="62" t="n"/>
      <c r="G9" s="62" t="n"/>
      <c r="H9" s="62" t="n"/>
      <c r="I9" s="62" t="n"/>
      <c r="J9" s="63" t="inlineStr">
        <is>
          <t>?</t>
        </is>
      </c>
      <c r="K9" s="63" t="inlineStr">
        <is>
          <t>?</t>
        </is>
      </c>
      <c r="L9" s="63" t="inlineStr">
        <is>
          <t>?</t>
        </is>
      </c>
      <c r="M9" s="62" t="n"/>
      <c r="N9" s="62" t="n"/>
      <c r="O9" s="62" t="n"/>
    </row>
    <row r="10">
      <c r="A10" s="4" t="n">
        <v>7</v>
      </c>
      <c r="B10" s="6" t="inlineStr">
        <is>
          <t>Saudi Green Initiative</t>
        </is>
      </c>
      <c r="C10" s="6" t="inlineStr">
        <is>
          <t>المسؤولية الاجتماعية</t>
        </is>
      </c>
      <c r="D10" s="64" t="n"/>
      <c r="E10" s="64" t="n"/>
      <c r="F10" s="61" t="inlineStr">
        <is>
          <t>★</t>
        </is>
      </c>
      <c r="G10" s="64" t="n"/>
      <c r="H10" s="64" t="n"/>
      <c r="I10" s="64" t="n"/>
      <c r="J10" s="64" t="n"/>
      <c r="K10" s="64" t="n"/>
      <c r="L10" s="64" t="n"/>
      <c r="M10" s="64" t="n"/>
      <c r="N10" s="64" t="n"/>
      <c r="O10" s="64" t="n"/>
    </row>
    <row r="11">
      <c r="A11" s="4" t="n">
        <v>8</v>
      </c>
      <c r="B11" s="6" t="inlineStr">
        <is>
          <t>Ihsan Campaign</t>
        </is>
      </c>
      <c r="C11" s="6" t="inlineStr">
        <is>
          <t>المسؤولية الاجتماعية</t>
        </is>
      </c>
      <c r="D11" s="64" t="n"/>
      <c r="E11" s="64" t="n"/>
      <c r="F11" s="64" t="n"/>
      <c r="G11" s="63" t="inlineStr">
        <is>
          <t>?</t>
        </is>
      </c>
      <c r="H11" s="63" t="inlineStr">
        <is>
          <t>?</t>
        </is>
      </c>
      <c r="I11" s="63" t="inlineStr">
        <is>
          <t>?</t>
        </is>
      </c>
      <c r="J11" s="64" t="n"/>
      <c r="K11" s="64" t="n"/>
      <c r="L11" s="64" t="n"/>
      <c r="M11" s="64" t="n"/>
      <c r="N11" s="64" t="n"/>
      <c r="O11" s="64" t="n"/>
    </row>
    <row r="12">
      <c r="A12" s="4" t="n">
        <v>9</v>
      </c>
      <c r="B12" s="6" t="inlineStr">
        <is>
          <t>Clothing Drive</t>
        </is>
      </c>
      <c r="C12" s="6" t="inlineStr">
        <is>
          <t>المسؤولية الاجتماعية</t>
        </is>
      </c>
      <c r="D12" s="64" t="n"/>
      <c r="E12" s="64" t="n"/>
      <c r="F12" s="64" t="n"/>
      <c r="G12" s="64" t="n"/>
      <c r="H12" s="64" t="n"/>
      <c r="I12" s="64" t="n"/>
      <c r="J12" s="64" t="n"/>
      <c r="K12" s="64" t="n"/>
      <c r="L12" s="64" t="n"/>
      <c r="M12" s="63" t="inlineStr">
        <is>
          <t>?</t>
        </is>
      </c>
      <c r="N12" s="63" t="inlineStr">
        <is>
          <t>?</t>
        </is>
      </c>
      <c r="O12" s="63" t="inlineStr">
        <is>
          <t>?</t>
        </is>
      </c>
    </row>
    <row r="13">
      <c r="A13" s="4" t="n">
        <v>10</v>
      </c>
      <c r="B13" s="6" t="inlineStr">
        <is>
          <t>World Blood Donation Day</t>
        </is>
      </c>
      <c r="C13" s="6" t="inlineStr">
        <is>
          <t>المسؤولية الاجتماعية</t>
        </is>
      </c>
      <c r="D13" s="64" t="n"/>
      <c r="E13" s="64" t="n"/>
      <c r="F13" s="64" t="n"/>
      <c r="G13" s="64" t="n"/>
      <c r="H13" s="64" t="n"/>
      <c r="I13" s="61" t="inlineStr">
        <is>
          <t>★</t>
        </is>
      </c>
      <c r="J13" s="64" t="n"/>
      <c r="K13" s="64" t="n"/>
      <c r="L13" s="64" t="n"/>
      <c r="M13" s="64" t="n"/>
      <c r="N13" s="64" t="n"/>
      <c r="O13" s="64" t="n"/>
    </row>
    <row r="14">
      <c r="A14" s="4" t="n">
        <v>11</v>
      </c>
      <c r="B14" s="6" t="inlineStr">
        <is>
          <t>Environment Week</t>
        </is>
      </c>
      <c r="C14" s="6" t="inlineStr">
        <is>
          <t>المسؤولية الاجتماعية</t>
        </is>
      </c>
      <c r="D14" s="63" t="inlineStr">
        <is>
          <t>?</t>
        </is>
      </c>
      <c r="E14" s="63" t="inlineStr">
        <is>
          <t>?</t>
        </is>
      </c>
      <c r="F14" s="63" t="inlineStr">
        <is>
          <t>?</t>
        </is>
      </c>
      <c r="G14" s="64" t="n"/>
      <c r="H14" s="64" t="n"/>
      <c r="I14" s="64" t="n"/>
      <c r="J14" s="64" t="n"/>
      <c r="K14" s="64" t="n"/>
      <c r="L14" s="64" t="n"/>
      <c r="M14" s="64" t="n"/>
      <c r="N14" s="64" t="n"/>
      <c r="O14" s="64" t="n"/>
    </row>
    <row r="15">
      <c r="A15" s="4" t="n">
        <v>12</v>
      </c>
      <c r="B15" s="6" t="inlineStr">
        <is>
          <t>International Volunteer Day</t>
        </is>
      </c>
      <c r="C15" s="6" t="inlineStr">
        <is>
          <t>المسؤولية الاجتماعية</t>
        </is>
      </c>
      <c r="D15" s="64" t="n"/>
      <c r="E15" s="64" t="n"/>
      <c r="F15" s="64" t="n"/>
      <c r="G15" s="64" t="n"/>
      <c r="H15" s="64" t="n"/>
      <c r="I15" s="64" t="n"/>
      <c r="J15" s="64" t="n"/>
      <c r="K15" s="64" t="n"/>
      <c r="L15" s="64" t="n"/>
      <c r="M15" s="64" t="n"/>
      <c r="N15" s="64" t="n"/>
      <c r="O15" s="61" t="inlineStr">
        <is>
          <t>★</t>
        </is>
      </c>
    </row>
    <row r="16">
      <c r="A16" s="22" t="n">
        <v>13</v>
      </c>
      <c r="B16" s="24" t="inlineStr">
        <is>
          <t>World No Tobacco Day</t>
        </is>
      </c>
      <c r="C16" s="24" t="inlineStr">
        <is>
          <t>الأيام العالمية</t>
        </is>
      </c>
      <c r="D16" s="65" t="n"/>
      <c r="E16" s="65" t="n"/>
      <c r="F16" s="65" t="n"/>
      <c r="G16" s="65" t="n"/>
      <c r="H16" s="61" t="inlineStr">
        <is>
          <t>★</t>
        </is>
      </c>
      <c r="I16" s="65" t="n"/>
      <c r="J16" s="65" t="n"/>
      <c r="K16" s="65" t="n"/>
      <c r="L16" s="65" t="n"/>
      <c r="M16" s="65" t="n"/>
      <c r="N16" s="65" t="n"/>
      <c r="O16" s="65" t="n"/>
    </row>
    <row r="17">
      <c r="A17" s="22" t="n">
        <v>14</v>
      </c>
      <c r="B17" s="24" t="inlineStr">
        <is>
          <t>World First Aid Day</t>
        </is>
      </c>
      <c r="C17" s="24" t="inlineStr">
        <is>
          <t>الأيام العالمية</t>
        </is>
      </c>
      <c r="D17" s="65" t="n"/>
      <c r="E17" s="65" t="n"/>
      <c r="F17" s="65" t="n"/>
      <c r="G17" s="65" t="n"/>
      <c r="H17" s="65" t="n"/>
      <c r="I17" s="65" t="n"/>
      <c r="J17" s="65" t="n"/>
      <c r="K17" s="65" t="n"/>
      <c r="L17" s="61" t="inlineStr">
        <is>
          <t>★</t>
        </is>
      </c>
      <c r="M17" s="65" t="n"/>
      <c r="N17" s="65" t="n"/>
      <c r="O17" s="65" t="n"/>
    </row>
    <row r="18">
      <c r="A18" s="22" t="n">
        <v>15</v>
      </c>
      <c r="B18" s="24" t="inlineStr">
        <is>
          <t>World Alzheimer's Day</t>
        </is>
      </c>
      <c r="C18" s="24" t="inlineStr">
        <is>
          <t>الأيام العالمية</t>
        </is>
      </c>
      <c r="D18" s="65" t="n"/>
      <c r="E18" s="65" t="n"/>
      <c r="F18" s="65" t="n"/>
      <c r="G18" s="65" t="n"/>
      <c r="H18" s="65" t="n"/>
      <c r="I18" s="65" t="n"/>
      <c r="J18" s="65" t="n"/>
      <c r="K18" s="65" t="n"/>
      <c r="L18" s="61" t="inlineStr">
        <is>
          <t>★</t>
        </is>
      </c>
      <c r="M18" s="65" t="n"/>
      <c r="N18" s="65" t="n"/>
      <c r="O18" s="65" t="n"/>
    </row>
    <row r="19">
      <c r="A19" s="22" t="n">
        <v>16</v>
      </c>
      <c r="B19" s="24" t="inlineStr">
        <is>
          <t>World Mental Health Day</t>
        </is>
      </c>
      <c r="C19" s="24" t="inlineStr">
        <is>
          <t>الأيام العالمية</t>
        </is>
      </c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1" t="inlineStr">
        <is>
          <t>★</t>
        </is>
      </c>
      <c r="N19" s="65" t="n"/>
      <c r="O19" s="65" t="n"/>
    </row>
    <row r="20">
      <c r="A20" s="22" t="n">
        <v>17</v>
      </c>
      <c r="B20" s="24" t="inlineStr">
        <is>
          <t>World Breast Cancer Day</t>
        </is>
      </c>
      <c r="C20" s="24" t="inlineStr">
        <is>
          <t>الأيام العالمية</t>
        </is>
      </c>
      <c r="D20" s="65" t="n"/>
      <c r="E20" s="65" t="n"/>
      <c r="F20" s="65" t="n"/>
      <c r="G20" s="65" t="n"/>
      <c r="H20" s="65" t="n"/>
      <c r="I20" s="65" t="n"/>
      <c r="J20" s="65" t="n"/>
      <c r="K20" s="65" t="n"/>
      <c r="L20" s="65" t="n"/>
      <c r="M20" s="61" t="inlineStr">
        <is>
          <t>★</t>
        </is>
      </c>
      <c r="N20" s="65" t="n"/>
      <c r="O20" s="65" t="n"/>
    </row>
    <row r="21">
      <c r="A21" s="22" t="n">
        <v>18</v>
      </c>
      <c r="B21" s="24" t="inlineStr">
        <is>
          <t>Flu Vaccination</t>
        </is>
      </c>
      <c r="C21" s="24" t="inlineStr">
        <is>
          <t>الأيام العالمية</t>
        </is>
      </c>
      <c r="D21" s="65" t="n"/>
      <c r="E21" s="65" t="n"/>
      <c r="F21" s="65" t="n"/>
      <c r="G21" s="65" t="n"/>
      <c r="H21" s="65" t="n"/>
      <c r="I21" s="65" t="n"/>
      <c r="J21" s="65" t="n"/>
      <c r="K21" s="65" t="n"/>
      <c r="L21" s="65" t="n"/>
      <c r="M21" s="61" t="inlineStr">
        <is>
          <t>★</t>
        </is>
      </c>
      <c r="N21" s="65" t="n"/>
      <c r="O21" s="65" t="n"/>
    </row>
    <row r="22">
      <c r="A22" s="22" t="n">
        <v>19</v>
      </c>
      <c r="B22" s="24" t="inlineStr">
        <is>
          <t>World Diabetes Day</t>
        </is>
      </c>
      <c r="C22" s="24" t="inlineStr">
        <is>
          <t>الأيام العالمية</t>
        </is>
      </c>
      <c r="D22" s="65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1" t="inlineStr">
        <is>
          <t>★</t>
        </is>
      </c>
      <c r="O22" s="65" t="n"/>
    </row>
    <row r="23">
      <c r="A23" s="28" t="n">
        <v>20</v>
      </c>
      <c r="B23" s="30" t="inlineStr">
        <is>
          <t>SERA Quarterly Friday</t>
        </is>
      </c>
      <c r="C23" s="30" t="inlineStr">
        <is>
          <t>الفعاليات الداخلية</t>
        </is>
      </c>
      <c r="D23" s="59" t="inlineStr">
        <is>
          <t>●</t>
        </is>
      </c>
      <c r="E23" s="59" t="inlineStr">
        <is>
          <t>●</t>
        </is>
      </c>
      <c r="F23" s="59" t="inlineStr">
        <is>
          <t>●</t>
        </is>
      </c>
      <c r="G23" s="59" t="inlineStr">
        <is>
          <t>●</t>
        </is>
      </c>
      <c r="H23" s="59" t="inlineStr">
        <is>
          <t>●</t>
        </is>
      </c>
      <c r="I23" s="59" t="inlineStr">
        <is>
          <t>●</t>
        </is>
      </c>
      <c r="J23" s="59" t="inlineStr">
        <is>
          <t>●</t>
        </is>
      </c>
      <c r="K23" s="59" t="inlineStr">
        <is>
          <t>●</t>
        </is>
      </c>
      <c r="L23" s="59" t="inlineStr">
        <is>
          <t>●</t>
        </is>
      </c>
      <c r="M23" s="59" t="inlineStr">
        <is>
          <t>●</t>
        </is>
      </c>
      <c r="N23" s="59" t="inlineStr">
        <is>
          <t>●</t>
        </is>
      </c>
      <c r="O23" s="59" t="inlineStr">
        <is>
          <t>●</t>
        </is>
      </c>
    </row>
    <row r="24">
      <c r="A24" s="28" t="n">
        <v>21</v>
      </c>
      <c r="B24" s="30" t="inlineStr">
        <is>
          <t>Annual Meeting</t>
        </is>
      </c>
      <c r="C24" s="30" t="inlineStr">
        <is>
          <t>الفعاليات الداخلية</t>
        </is>
      </c>
      <c r="D24" s="66" t="n"/>
      <c r="E24" s="61" t="inlineStr">
        <is>
          <t>★</t>
        </is>
      </c>
      <c r="F24" s="66" t="n"/>
      <c r="G24" s="66" t="n"/>
      <c r="H24" s="66" t="n"/>
      <c r="I24" s="66" t="n"/>
      <c r="J24" s="66" t="n"/>
      <c r="K24" s="66" t="n"/>
      <c r="L24" s="66" t="n"/>
      <c r="M24" s="66" t="n"/>
      <c r="N24" s="66" t="n"/>
      <c r="O24" s="66" t="n"/>
    </row>
    <row r="25">
      <c r="A25" s="28" t="n">
        <v>22</v>
      </c>
      <c r="B25" s="30" t="inlineStr">
        <is>
          <t>Employee Appreciation Day</t>
        </is>
      </c>
      <c r="C25" s="30" t="inlineStr">
        <is>
          <t>الفعاليات الداخلية</t>
        </is>
      </c>
      <c r="D25" s="66" t="n"/>
      <c r="E25" s="66" t="n"/>
      <c r="F25" s="61" t="inlineStr">
        <is>
          <t>★</t>
        </is>
      </c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</row>
    <row r="26">
      <c r="A26" s="28" t="n">
        <v>23</v>
      </c>
      <c r="B26" s="30" t="inlineStr">
        <is>
          <t>International Women's Day</t>
        </is>
      </c>
      <c r="C26" s="30" t="inlineStr">
        <is>
          <t>الفعاليات الداخلية</t>
        </is>
      </c>
      <c r="D26" s="66" t="n"/>
      <c r="E26" s="66" t="n"/>
      <c r="F26" s="61" t="inlineStr">
        <is>
          <t>★</t>
        </is>
      </c>
      <c r="G26" s="66" t="n"/>
      <c r="H26" s="66" t="n"/>
      <c r="I26" s="66" t="n"/>
      <c r="J26" s="66" t="n"/>
      <c r="K26" s="66" t="n"/>
      <c r="L26" s="66" t="n"/>
      <c r="M26" s="66" t="n"/>
      <c r="N26" s="66" t="n"/>
      <c r="O26" s="66" t="n"/>
    </row>
    <row r="27">
      <c r="A27" s="28" t="n">
        <v>24</v>
      </c>
      <c r="B27" s="30" t="inlineStr">
        <is>
          <t>Flag Day</t>
        </is>
      </c>
      <c r="C27" s="30" t="inlineStr">
        <is>
          <t>الفعاليات الداخلية</t>
        </is>
      </c>
      <c r="D27" s="66" t="n"/>
      <c r="E27" s="66" t="n"/>
      <c r="F27" s="61" t="inlineStr">
        <is>
          <t>★</t>
        </is>
      </c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</row>
    <row r="28">
      <c r="A28" s="28" t="n">
        <v>25</v>
      </c>
      <c r="B28" s="30" t="inlineStr">
        <is>
          <t>Ramadan Iftar</t>
        </is>
      </c>
      <c r="C28" s="30" t="inlineStr">
        <is>
          <t>الفعاليات الداخلية</t>
        </is>
      </c>
      <c r="D28" s="66" t="n"/>
      <c r="E28" s="66" t="n"/>
      <c r="F28" s="61" t="inlineStr">
        <is>
          <t>★</t>
        </is>
      </c>
      <c r="G28" s="66" t="n"/>
      <c r="H28" s="66" t="n"/>
      <c r="I28" s="66" t="n"/>
      <c r="J28" s="66" t="n"/>
      <c r="K28" s="66" t="n"/>
      <c r="L28" s="66" t="n"/>
      <c r="M28" s="66" t="n"/>
      <c r="N28" s="66" t="n"/>
      <c r="O28" s="66" t="n"/>
    </row>
    <row r="29">
      <c r="A29" s="28" t="n">
        <v>26</v>
      </c>
      <c r="B29" s="30" t="inlineStr">
        <is>
          <t>Mother's Day</t>
        </is>
      </c>
      <c r="C29" s="30" t="inlineStr">
        <is>
          <t>الفعاليات الداخلية</t>
        </is>
      </c>
      <c r="D29" s="66" t="n"/>
      <c r="E29" s="66" t="n"/>
      <c r="F29" s="61" t="inlineStr">
        <is>
          <t>★</t>
        </is>
      </c>
      <c r="G29" s="66" t="n"/>
      <c r="H29" s="66" t="n"/>
      <c r="I29" s="66" t="n"/>
      <c r="J29" s="66" t="n"/>
      <c r="K29" s="66" t="n"/>
      <c r="L29" s="66" t="n"/>
      <c r="M29" s="66" t="n"/>
      <c r="N29" s="66" t="n"/>
      <c r="O29" s="66" t="n"/>
    </row>
    <row r="30">
      <c r="A30" s="28" t="n">
        <v>27</v>
      </c>
      <c r="B30" s="30" t="inlineStr">
        <is>
          <t>Eid Al-Fitr Party</t>
        </is>
      </c>
      <c r="C30" s="30" t="inlineStr">
        <is>
          <t>الفعاليات الداخلية</t>
        </is>
      </c>
      <c r="D30" s="66" t="n"/>
      <c r="E30" s="66" t="n"/>
      <c r="F30" s="66" t="n"/>
      <c r="G30" s="61" t="inlineStr">
        <is>
          <t>★</t>
        </is>
      </c>
      <c r="H30" s="66" t="n"/>
      <c r="I30" s="66" t="n"/>
      <c r="J30" s="66" t="n"/>
      <c r="K30" s="66" t="n"/>
      <c r="L30" s="66" t="n"/>
      <c r="M30" s="66" t="n"/>
      <c r="N30" s="66" t="n"/>
      <c r="O30" s="66" t="n"/>
    </row>
    <row r="31">
      <c r="A31" s="28" t="n">
        <v>28</v>
      </c>
      <c r="B31" s="30" t="inlineStr">
        <is>
          <t>World Creativity &amp; Innovation Day</t>
        </is>
      </c>
      <c r="C31" s="30" t="inlineStr">
        <is>
          <t>الفعاليات الداخلية</t>
        </is>
      </c>
      <c r="D31" s="66" t="n"/>
      <c r="E31" s="66" t="n"/>
      <c r="F31" s="66" t="n"/>
      <c r="G31" s="61" t="inlineStr">
        <is>
          <t>★</t>
        </is>
      </c>
      <c r="H31" s="66" t="n"/>
      <c r="I31" s="66" t="n"/>
      <c r="J31" s="66" t="n"/>
      <c r="K31" s="66" t="n"/>
      <c r="L31" s="66" t="n"/>
      <c r="M31" s="66" t="n"/>
      <c r="N31" s="66" t="n"/>
      <c r="O31" s="66" t="n"/>
    </row>
    <row r="32">
      <c r="A32" s="28" t="n">
        <v>29</v>
      </c>
      <c r="B32" s="30" t="inlineStr">
        <is>
          <t>Tea Day</t>
        </is>
      </c>
      <c r="C32" s="30" t="inlineStr">
        <is>
          <t>الفعاليات الداخلية</t>
        </is>
      </c>
      <c r="D32" s="66" t="n"/>
      <c r="E32" s="66" t="n"/>
      <c r="F32" s="66" t="n"/>
      <c r="G32" s="66" t="n"/>
      <c r="H32" s="61" t="inlineStr">
        <is>
          <t>★</t>
        </is>
      </c>
      <c r="I32" s="66" t="n"/>
      <c r="J32" s="66" t="n"/>
      <c r="K32" s="66" t="n"/>
      <c r="L32" s="66" t="n"/>
      <c r="M32" s="66" t="n"/>
      <c r="N32" s="66" t="n"/>
      <c r="O32" s="66" t="n"/>
    </row>
    <row r="33">
      <c r="A33" s="28" t="n">
        <v>30</v>
      </c>
      <c r="B33" s="30" t="inlineStr">
        <is>
          <t>Eid Al-Adha Party</t>
        </is>
      </c>
      <c r="C33" s="30" t="inlineStr">
        <is>
          <t>الفعاليات الداخلية</t>
        </is>
      </c>
      <c r="D33" s="66" t="n"/>
      <c r="E33" s="66" t="n"/>
      <c r="F33" s="66" t="n"/>
      <c r="G33" s="66" t="n"/>
      <c r="H33" s="66" t="n"/>
      <c r="I33" s="61" t="inlineStr">
        <is>
          <t>★</t>
        </is>
      </c>
      <c r="J33" s="66" t="n"/>
      <c r="K33" s="66" t="n"/>
      <c r="L33" s="66" t="n"/>
      <c r="M33" s="66" t="n"/>
      <c r="N33" s="66" t="n"/>
      <c r="O33" s="66" t="n"/>
    </row>
    <row r="34">
      <c r="A34" s="28" t="n">
        <v>31</v>
      </c>
      <c r="B34" s="30" t="inlineStr">
        <is>
          <t>World Father's Day</t>
        </is>
      </c>
      <c r="C34" s="30" t="inlineStr">
        <is>
          <t>الفعاليات الداخلية</t>
        </is>
      </c>
      <c r="D34" s="66" t="n"/>
      <c r="E34" s="66" t="n"/>
      <c r="F34" s="66" t="n"/>
      <c r="G34" s="66" t="n"/>
      <c r="H34" s="66" t="n"/>
      <c r="I34" s="61" t="inlineStr">
        <is>
          <t>★</t>
        </is>
      </c>
      <c r="J34" s="66" t="n"/>
      <c r="K34" s="66" t="n"/>
      <c r="L34" s="66" t="n"/>
      <c r="M34" s="66" t="n"/>
      <c r="N34" s="66" t="n"/>
      <c r="O34" s="66" t="n"/>
    </row>
    <row r="35">
      <c r="A35" s="28" t="n">
        <v>32</v>
      </c>
      <c r="B35" s="30" t="inlineStr">
        <is>
          <t>SERA Summer</t>
        </is>
      </c>
      <c r="C35" s="30" t="inlineStr">
        <is>
          <t>الفعاليات الداخلية</t>
        </is>
      </c>
      <c r="D35" s="66" t="n"/>
      <c r="E35" s="66" t="n"/>
      <c r="F35" s="66" t="n"/>
      <c r="G35" s="66" t="n"/>
      <c r="H35" s="66" t="n"/>
      <c r="I35" s="66" t="n"/>
      <c r="J35" s="61" t="inlineStr">
        <is>
          <t>★</t>
        </is>
      </c>
      <c r="K35" s="66" t="n"/>
      <c r="L35" s="66" t="n"/>
      <c r="M35" s="66" t="n"/>
      <c r="N35" s="66" t="n"/>
      <c r="O35" s="66" t="n"/>
    </row>
    <row r="36">
      <c r="A36" s="28" t="n">
        <v>33</v>
      </c>
      <c r="B36" s="30" t="inlineStr">
        <is>
          <t>SERA Winter</t>
        </is>
      </c>
      <c r="C36" s="30" t="inlineStr">
        <is>
          <t>الفعاليات الداخلية</t>
        </is>
      </c>
      <c r="D36" s="66" t="n"/>
      <c r="E36" s="66" t="n"/>
      <c r="F36" s="66" t="n"/>
      <c r="G36" s="66" t="n"/>
      <c r="H36" s="66" t="n"/>
      <c r="I36" s="66" t="n"/>
      <c r="J36" s="66" t="n"/>
      <c r="K36" s="61" t="inlineStr">
        <is>
          <t>★</t>
        </is>
      </c>
      <c r="L36" s="66" t="n"/>
      <c r="M36" s="66" t="n"/>
      <c r="N36" s="66" t="n"/>
      <c r="O36" s="66" t="n"/>
    </row>
    <row r="37">
      <c r="A37" s="28" t="n">
        <v>34</v>
      </c>
      <c r="B37" s="30" t="inlineStr">
        <is>
          <t>World Coffee Day</t>
        </is>
      </c>
      <c r="C37" s="30" t="inlineStr">
        <is>
          <t>الفعاليات الداخلية</t>
        </is>
      </c>
      <c r="D37" s="66" t="n"/>
      <c r="E37" s="66" t="n"/>
      <c r="F37" s="66" t="n"/>
      <c r="G37" s="66" t="n"/>
      <c r="H37" s="66" t="n"/>
      <c r="I37" s="66" t="n"/>
      <c r="J37" s="66" t="n"/>
      <c r="K37" s="66" t="n"/>
      <c r="L37" s="66" t="n"/>
      <c r="M37" s="61" t="inlineStr">
        <is>
          <t>★</t>
        </is>
      </c>
      <c r="N37" s="66" t="n"/>
      <c r="O37" s="66" t="n"/>
    </row>
    <row r="38">
      <c r="A38" s="28" t="n">
        <v>35</v>
      </c>
      <c r="B38" s="30" t="inlineStr">
        <is>
          <t>World Savings Day</t>
        </is>
      </c>
      <c r="C38" s="30" t="inlineStr">
        <is>
          <t>الفعاليات الداخلية</t>
        </is>
      </c>
      <c r="D38" s="66" t="n"/>
      <c r="E38" s="66" t="n"/>
      <c r="F38" s="66" t="n"/>
      <c r="G38" s="66" t="n"/>
      <c r="H38" s="66" t="n"/>
      <c r="I38" s="66" t="n"/>
      <c r="J38" s="66" t="n"/>
      <c r="K38" s="66" t="n"/>
      <c r="L38" s="66" t="n"/>
      <c r="M38" s="61" t="inlineStr">
        <is>
          <t>★</t>
        </is>
      </c>
      <c r="N38" s="66" t="n"/>
      <c r="O38" s="66" t="n"/>
    </row>
    <row r="39">
      <c r="A39" s="28" t="n">
        <v>36</v>
      </c>
      <c r="B39" s="30" t="inlineStr">
        <is>
          <t>Cybersecurity Exhibition</t>
        </is>
      </c>
      <c r="C39" s="30" t="inlineStr">
        <is>
          <t>الفعاليات الداخلية</t>
        </is>
      </c>
      <c r="D39" s="66" t="n"/>
      <c r="E39" s="66" t="n"/>
      <c r="F39" s="66" t="n"/>
      <c r="G39" s="66" t="n"/>
      <c r="H39" s="66" t="n"/>
      <c r="I39" s="66" t="n"/>
      <c r="J39" s="63" t="inlineStr">
        <is>
          <t>?</t>
        </is>
      </c>
      <c r="K39" s="63" t="inlineStr">
        <is>
          <t>?</t>
        </is>
      </c>
      <c r="L39" s="63" t="inlineStr">
        <is>
          <t>?</t>
        </is>
      </c>
      <c r="M39" s="66" t="n"/>
      <c r="N39" s="66" t="n"/>
      <c r="O39" s="66" t="n"/>
    </row>
    <row r="40">
      <c r="A40" s="28" t="n">
        <v>37</v>
      </c>
      <c r="B40" s="30" t="inlineStr">
        <is>
          <t>Transformation Activities</t>
        </is>
      </c>
      <c r="C40" s="30" t="inlineStr">
        <is>
          <t>الفعاليات الداخلية</t>
        </is>
      </c>
      <c r="D40" s="66" t="n"/>
      <c r="E40" s="66" t="n"/>
      <c r="F40" s="66" t="n"/>
      <c r="G40" s="63" t="inlineStr">
        <is>
          <t>?</t>
        </is>
      </c>
      <c r="H40" s="63" t="inlineStr">
        <is>
          <t>?</t>
        </is>
      </c>
      <c r="I40" s="63" t="inlineStr">
        <is>
          <t>?</t>
        </is>
      </c>
      <c r="J40" s="63" t="inlineStr">
        <is>
          <t>?</t>
        </is>
      </c>
      <c r="K40" s="63" t="inlineStr">
        <is>
          <t>?</t>
        </is>
      </c>
      <c r="L40" s="63" t="inlineStr">
        <is>
          <t>?</t>
        </is>
      </c>
      <c r="M40" s="66" t="n"/>
      <c r="N40" s="66" t="n"/>
      <c r="O40" s="66" t="n"/>
    </row>
    <row r="41">
      <c r="A41" s="28" t="n">
        <v>38</v>
      </c>
      <c r="B41" s="30" t="inlineStr">
        <is>
          <t>Strategy &amp; Quality Day</t>
        </is>
      </c>
      <c r="C41" s="30" t="inlineStr">
        <is>
          <t>الفعاليات الداخلية</t>
        </is>
      </c>
      <c r="D41" s="66" t="n"/>
      <c r="E41" s="66" t="n"/>
      <c r="F41" s="66" t="n"/>
      <c r="G41" s="66" t="n"/>
      <c r="H41" s="66" t="n"/>
      <c r="I41" s="66" t="n"/>
      <c r="J41" s="66" t="n"/>
      <c r="K41" s="66" t="n"/>
      <c r="L41" s="66" t="n"/>
      <c r="M41" s="66" t="n"/>
      <c r="N41" s="61" t="inlineStr">
        <is>
          <t>★</t>
        </is>
      </c>
      <c r="O41" s="66" t="n"/>
    </row>
    <row r="42">
      <c r="A42" s="28" t="n">
        <v>39</v>
      </c>
      <c r="B42" s="30" t="inlineStr">
        <is>
          <t>International Men's Day</t>
        </is>
      </c>
      <c r="C42" s="30" t="inlineStr">
        <is>
          <t>الفعاليات الداخلية</t>
        </is>
      </c>
      <c r="D42" s="66" t="n"/>
      <c r="E42" s="66" t="n"/>
      <c r="F42" s="66" t="n"/>
      <c r="G42" s="66" t="n"/>
      <c r="H42" s="66" t="n"/>
      <c r="I42" s="66" t="n"/>
      <c r="J42" s="66" t="n"/>
      <c r="K42" s="66" t="n"/>
      <c r="L42" s="66" t="n"/>
      <c r="M42" s="66" t="n"/>
      <c r="N42" s="61" t="inlineStr">
        <is>
          <t>★</t>
        </is>
      </c>
      <c r="O42" s="66" t="n"/>
    </row>
    <row r="43">
      <c r="A43" s="28" t="n">
        <v>40</v>
      </c>
      <c r="B43" s="30" t="inlineStr">
        <is>
          <t>World Children's Day</t>
        </is>
      </c>
      <c r="C43" s="30" t="inlineStr">
        <is>
          <t>الفعاليات الداخلية</t>
        </is>
      </c>
      <c r="D43" s="66" t="n"/>
      <c r="E43" s="66" t="n"/>
      <c r="F43" s="66" t="n"/>
      <c r="G43" s="66" t="n"/>
      <c r="H43" s="66" t="n"/>
      <c r="I43" s="66" t="n"/>
      <c r="J43" s="66" t="n"/>
      <c r="K43" s="66" t="n"/>
      <c r="L43" s="66" t="n"/>
      <c r="M43" s="66" t="n"/>
      <c r="N43" s="61" t="inlineStr">
        <is>
          <t>★</t>
        </is>
      </c>
      <c r="O43" s="66" t="n"/>
    </row>
    <row r="44">
      <c r="A44" s="28" t="n">
        <v>41</v>
      </c>
      <c r="B44" s="30" t="inlineStr">
        <is>
          <t>International Anti-Corruption Day</t>
        </is>
      </c>
      <c r="C44" s="30" t="inlineStr">
        <is>
          <t>الفعاليات الداخلية</t>
        </is>
      </c>
      <c r="D44" s="66" t="n"/>
      <c r="E44" s="66" t="n"/>
      <c r="F44" s="66" t="n"/>
      <c r="G44" s="66" t="n"/>
      <c r="H44" s="66" t="n"/>
      <c r="I44" s="66" t="n"/>
      <c r="J44" s="66" t="n"/>
      <c r="K44" s="66" t="n"/>
      <c r="L44" s="66" t="n"/>
      <c r="M44" s="66" t="n"/>
      <c r="N44" s="66" t="n"/>
      <c r="O44" s="61" t="inlineStr">
        <is>
          <t>★</t>
        </is>
      </c>
    </row>
    <row r="45">
      <c r="A45" s="28" t="n">
        <v>42</v>
      </c>
      <c r="B45" s="30" t="inlineStr">
        <is>
          <t>Ideal Office</t>
        </is>
      </c>
      <c r="C45" s="30" t="inlineStr">
        <is>
          <t>الفعاليات الداخلية</t>
        </is>
      </c>
      <c r="D45" s="66" t="n"/>
      <c r="E45" s="66" t="n"/>
      <c r="F45" s="66" t="n"/>
      <c r="G45" s="66" t="n"/>
      <c r="H45" s="66" t="n"/>
      <c r="I45" s="66" t="n"/>
      <c r="J45" s="63" t="inlineStr">
        <is>
          <t>?</t>
        </is>
      </c>
      <c r="K45" s="63" t="inlineStr">
        <is>
          <t>?</t>
        </is>
      </c>
      <c r="L45" s="63" t="inlineStr">
        <is>
          <t>?</t>
        </is>
      </c>
      <c r="M45" s="66" t="n"/>
      <c r="N45" s="66" t="n"/>
      <c r="O45" s="66" t="n"/>
    </row>
    <row r="46">
      <c r="A46" s="28" t="n">
        <v>43</v>
      </c>
      <c r="B46" s="30" t="inlineStr">
        <is>
          <t>World Arabic Language Day</t>
        </is>
      </c>
      <c r="C46" s="30" t="inlineStr">
        <is>
          <t>الفعاليات الداخلية</t>
        </is>
      </c>
      <c r="D46" s="66" t="n"/>
      <c r="E46" s="66" t="n"/>
      <c r="F46" s="66" t="n"/>
      <c r="G46" s="66" t="n"/>
      <c r="H46" s="66" t="n"/>
      <c r="I46" s="66" t="n"/>
      <c r="J46" s="66" t="n"/>
      <c r="K46" s="66" t="n"/>
      <c r="L46" s="66" t="n"/>
      <c r="M46" s="66" t="n"/>
      <c r="N46" s="66" t="n"/>
      <c r="O46" s="61" t="inlineStr">
        <is>
          <t>★</t>
        </is>
      </c>
    </row>
    <row r="49">
      <c r="B49" s="67" t="inlineStr">
        <is>
          <t>LEGEND:</t>
        </is>
      </c>
    </row>
    <row r="50">
      <c r="B50" s="68" t="inlineStr">
        <is>
          <t>★ = Confirmed Date</t>
        </is>
      </c>
      <c r="C50" s="69" t="n"/>
    </row>
    <row r="51">
      <c r="B51" s="68" t="inlineStr">
        <is>
          <t>● = Ongoing / Recurring</t>
        </is>
      </c>
      <c r="C51" s="70" t="n"/>
    </row>
    <row r="52">
      <c r="B52" s="68" t="inlineStr">
        <is>
          <t>? = TBD (approximate quarter)</t>
        </is>
      </c>
      <c r="C52" s="71" t="n"/>
    </row>
  </sheetData>
  <mergeCells count="5">
    <mergeCell ref="D2:F2"/>
    <mergeCell ref="G2:I2"/>
    <mergeCell ref="J2:L2"/>
    <mergeCell ref="A1:O1"/>
    <mergeCell ref="M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F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SERA 2026 - Event Planning Checklist</t>
        </is>
      </c>
    </row>
    <row r="3">
      <c r="A3" s="3" t="inlineStr">
        <is>
          <t>#</t>
        </is>
      </c>
      <c r="B3" s="3" t="inlineStr">
        <is>
          <t>Event Name</t>
        </is>
      </c>
      <c r="C3" s="3" t="inlineStr">
        <is>
          <t>Venue Booked</t>
        </is>
      </c>
      <c r="D3" s="3" t="inlineStr">
        <is>
          <t>Vendor Confirmed</t>
        </is>
      </c>
      <c r="E3" s="3" t="inlineStr">
        <is>
          <t>Materials Ready</t>
        </is>
      </c>
      <c r="F3" s="3" t="inlineStr">
        <is>
          <t>Communication Sent</t>
        </is>
      </c>
    </row>
    <row r="4">
      <c r="A4" s="4" t="n">
        <v>1</v>
      </c>
      <c r="B4" s="6" t="inlineStr">
        <is>
          <t>Weekly Newsletter (Ongoing)</t>
        </is>
      </c>
      <c r="C4" s="72" t="inlineStr">
        <is>
          <t>☐</t>
        </is>
      </c>
      <c r="D4" s="72" t="inlineStr">
        <is>
          <t>☐</t>
        </is>
      </c>
      <c r="E4" s="72" t="inlineStr">
        <is>
          <t>☐</t>
        </is>
      </c>
      <c r="F4" s="72" t="inlineStr">
        <is>
          <t>☐</t>
        </is>
      </c>
    </row>
    <row r="5">
      <c r="A5" s="10" t="n">
        <v>2</v>
      </c>
      <c r="B5" s="12" t="inlineStr">
        <is>
          <t>National Day Celebration (23-Sep)</t>
        </is>
      </c>
      <c r="C5" s="73" t="inlineStr">
        <is>
          <t>☐</t>
        </is>
      </c>
      <c r="D5" s="73" t="inlineStr">
        <is>
          <t>☐</t>
        </is>
      </c>
      <c r="E5" s="73" t="inlineStr">
        <is>
          <t>☐</t>
        </is>
      </c>
      <c r="F5" s="73" t="inlineStr">
        <is>
          <t>☐</t>
        </is>
      </c>
    </row>
    <row r="6">
      <c r="A6" s="10" t="n">
        <v>3</v>
      </c>
      <c r="B6" s="12" t="inlineStr">
        <is>
          <t>Foundation Day (22-Feb)</t>
        </is>
      </c>
      <c r="C6" s="73" t="inlineStr">
        <is>
          <t>☐</t>
        </is>
      </c>
      <c r="D6" s="73" t="inlineStr">
        <is>
          <t>☐</t>
        </is>
      </c>
      <c r="E6" s="73" t="inlineStr">
        <is>
          <t>☐</t>
        </is>
      </c>
      <c r="F6" s="73" t="inlineStr">
        <is>
          <t>☐</t>
        </is>
      </c>
    </row>
    <row r="7">
      <c r="A7" s="16" t="n">
        <v>4</v>
      </c>
      <c r="B7" s="18" t="inlineStr">
        <is>
          <t>Padel Tournament (TBD)</t>
        </is>
      </c>
      <c r="C7" s="74" t="inlineStr">
        <is>
          <t>☐</t>
        </is>
      </c>
      <c r="D7" s="74" t="inlineStr">
        <is>
          <t>☐</t>
        </is>
      </c>
      <c r="E7" s="74" t="inlineStr">
        <is>
          <t>☐</t>
        </is>
      </c>
      <c r="F7" s="74" t="inlineStr">
        <is>
          <t>☐</t>
        </is>
      </c>
    </row>
    <row r="8">
      <c r="A8" s="16" t="n">
        <v>5</v>
      </c>
      <c r="B8" s="18" t="inlineStr">
        <is>
          <t>Walking Challenge (TBD)</t>
        </is>
      </c>
      <c r="C8" s="74" t="inlineStr">
        <is>
          <t>☐</t>
        </is>
      </c>
      <c r="D8" s="74" t="inlineStr">
        <is>
          <t>☐</t>
        </is>
      </c>
      <c r="E8" s="74" t="inlineStr">
        <is>
          <t>☐</t>
        </is>
      </c>
      <c r="F8" s="74" t="inlineStr">
        <is>
          <t>☐</t>
        </is>
      </c>
    </row>
    <row r="9">
      <c r="A9" s="16" t="n">
        <v>6</v>
      </c>
      <c r="B9" s="18" t="inlineStr">
        <is>
          <t>Football Tournament (TBD)</t>
        </is>
      </c>
      <c r="C9" s="74" t="inlineStr">
        <is>
          <t>☐</t>
        </is>
      </c>
      <c r="D9" s="74" t="inlineStr">
        <is>
          <t>☐</t>
        </is>
      </c>
      <c r="E9" s="74" t="inlineStr">
        <is>
          <t>☐</t>
        </is>
      </c>
      <c r="F9" s="74" t="inlineStr">
        <is>
          <t>☐</t>
        </is>
      </c>
    </row>
    <row r="10">
      <c r="A10" s="4" t="n">
        <v>7</v>
      </c>
      <c r="B10" s="6" t="inlineStr">
        <is>
          <t>Saudi Green Initiative (27-Mar)</t>
        </is>
      </c>
      <c r="C10" s="72" t="inlineStr">
        <is>
          <t>☐</t>
        </is>
      </c>
      <c r="D10" s="72" t="inlineStr">
        <is>
          <t>☐</t>
        </is>
      </c>
      <c r="E10" s="72" t="inlineStr">
        <is>
          <t>☐</t>
        </is>
      </c>
      <c r="F10" s="72" t="inlineStr">
        <is>
          <t>☐</t>
        </is>
      </c>
    </row>
    <row r="11">
      <c r="A11" s="4" t="n">
        <v>8</v>
      </c>
      <c r="B11" s="6" t="inlineStr">
        <is>
          <t>Ihsan Campaign (TBD)</t>
        </is>
      </c>
      <c r="C11" s="72" t="inlineStr">
        <is>
          <t>☐</t>
        </is>
      </c>
      <c r="D11" s="72" t="inlineStr">
        <is>
          <t>☐</t>
        </is>
      </c>
      <c r="E11" s="72" t="inlineStr">
        <is>
          <t>☐</t>
        </is>
      </c>
      <c r="F11" s="72" t="inlineStr">
        <is>
          <t>☐</t>
        </is>
      </c>
    </row>
    <row r="12">
      <c r="A12" s="4" t="n">
        <v>9</v>
      </c>
      <c r="B12" s="6" t="inlineStr">
        <is>
          <t>Clothing Drive (TBD)</t>
        </is>
      </c>
      <c r="C12" s="72" t="inlineStr">
        <is>
          <t>☐</t>
        </is>
      </c>
      <c r="D12" s="72" t="inlineStr">
        <is>
          <t>☐</t>
        </is>
      </c>
      <c r="E12" s="72" t="inlineStr">
        <is>
          <t>☐</t>
        </is>
      </c>
      <c r="F12" s="72" t="inlineStr">
        <is>
          <t>☐</t>
        </is>
      </c>
    </row>
    <row r="13">
      <c r="A13" s="4" t="n">
        <v>10</v>
      </c>
      <c r="B13" s="6" t="inlineStr">
        <is>
          <t>World Blood Donation Day (14-Jun)</t>
        </is>
      </c>
      <c r="C13" s="72" t="inlineStr">
        <is>
          <t>☐</t>
        </is>
      </c>
      <c r="D13" s="72" t="inlineStr">
        <is>
          <t>☐</t>
        </is>
      </c>
      <c r="E13" s="72" t="inlineStr">
        <is>
          <t>☐</t>
        </is>
      </c>
      <c r="F13" s="72" t="inlineStr">
        <is>
          <t>☐</t>
        </is>
      </c>
    </row>
    <row r="14">
      <c r="A14" s="4" t="n">
        <v>11</v>
      </c>
      <c r="B14" s="6" t="inlineStr">
        <is>
          <t>Environment Week (TBD)</t>
        </is>
      </c>
      <c r="C14" s="72" t="inlineStr">
        <is>
          <t>☐</t>
        </is>
      </c>
      <c r="D14" s="72" t="inlineStr">
        <is>
          <t>☐</t>
        </is>
      </c>
      <c r="E14" s="72" t="inlineStr">
        <is>
          <t>☐</t>
        </is>
      </c>
      <c r="F14" s="72" t="inlineStr">
        <is>
          <t>☐</t>
        </is>
      </c>
    </row>
    <row r="15">
      <c r="A15" s="4" t="n">
        <v>12</v>
      </c>
      <c r="B15" s="6" t="inlineStr">
        <is>
          <t>International Volunteer Day (5-Dec)</t>
        </is>
      </c>
      <c r="C15" s="72" t="inlineStr">
        <is>
          <t>☐</t>
        </is>
      </c>
      <c r="D15" s="72" t="inlineStr">
        <is>
          <t>☐</t>
        </is>
      </c>
      <c r="E15" s="72" t="inlineStr">
        <is>
          <t>☐</t>
        </is>
      </c>
      <c r="F15" s="72" t="inlineStr">
        <is>
          <t>☐</t>
        </is>
      </c>
    </row>
    <row r="16">
      <c r="A16" s="22" t="n">
        <v>13</v>
      </c>
      <c r="B16" s="24" t="inlineStr">
        <is>
          <t>World No Tobacco Day (31-May)</t>
        </is>
      </c>
      <c r="C16" s="75" t="inlineStr">
        <is>
          <t>☐</t>
        </is>
      </c>
      <c r="D16" s="75" t="inlineStr">
        <is>
          <t>☐</t>
        </is>
      </c>
      <c r="E16" s="75" t="inlineStr">
        <is>
          <t>☐</t>
        </is>
      </c>
      <c r="F16" s="75" t="inlineStr">
        <is>
          <t>☐</t>
        </is>
      </c>
    </row>
    <row r="17">
      <c r="A17" s="22" t="n">
        <v>14</v>
      </c>
      <c r="B17" s="24" t="inlineStr">
        <is>
          <t>World First Aid Day (13-Sep)</t>
        </is>
      </c>
      <c r="C17" s="75" t="inlineStr">
        <is>
          <t>☐</t>
        </is>
      </c>
      <c r="D17" s="75" t="inlineStr">
        <is>
          <t>☐</t>
        </is>
      </c>
      <c r="E17" s="75" t="inlineStr">
        <is>
          <t>☐</t>
        </is>
      </c>
      <c r="F17" s="75" t="inlineStr">
        <is>
          <t>☐</t>
        </is>
      </c>
    </row>
    <row r="18">
      <c r="A18" s="22" t="n">
        <v>15</v>
      </c>
      <c r="B18" s="24" t="inlineStr">
        <is>
          <t>World Alzheimer's Day (21-Sep)</t>
        </is>
      </c>
      <c r="C18" s="75" t="inlineStr">
        <is>
          <t>☐</t>
        </is>
      </c>
      <c r="D18" s="75" t="inlineStr">
        <is>
          <t>☐</t>
        </is>
      </c>
      <c r="E18" s="75" t="inlineStr">
        <is>
          <t>☐</t>
        </is>
      </c>
      <c r="F18" s="75" t="inlineStr">
        <is>
          <t>☐</t>
        </is>
      </c>
    </row>
    <row r="19">
      <c r="A19" s="22" t="n">
        <v>16</v>
      </c>
      <c r="B19" s="24" t="inlineStr">
        <is>
          <t>World Mental Health Day (10-Oct)</t>
        </is>
      </c>
      <c r="C19" s="75" t="inlineStr">
        <is>
          <t>☐</t>
        </is>
      </c>
      <c r="D19" s="75" t="inlineStr">
        <is>
          <t>☐</t>
        </is>
      </c>
      <c r="E19" s="75" t="inlineStr">
        <is>
          <t>☐</t>
        </is>
      </c>
      <c r="F19" s="75" t="inlineStr">
        <is>
          <t>☐</t>
        </is>
      </c>
    </row>
    <row r="20">
      <c r="A20" s="22" t="n">
        <v>17</v>
      </c>
      <c r="B20" s="24" t="inlineStr">
        <is>
          <t>World Breast Cancer Day (TBD-Oct)</t>
        </is>
      </c>
      <c r="C20" s="75" t="inlineStr">
        <is>
          <t>☐</t>
        </is>
      </c>
      <c r="D20" s="75" t="inlineStr">
        <is>
          <t>☐</t>
        </is>
      </c>
      <c r="E20" s="75" t="inlineStr">
        <is>
          <t>☐</t>
        </is>
      </c>
      <c r="F20" s="75" t="inlineStr">
        <is>
          <t>☐</t>
        </is>
      </c>
    </row>
    <row r="21">
      <c r="A21" s="22" t="n">
        <v>18</v>
      </c>
      <c r="B21" s="24" t="inlineStr">
        <is>
          <t>Flu Vaccination (TBD-Oct)</t>
        </is>
      </c>
      <c r="C21" s="75" t="inlineStr">
        <is>
          <t>☐</t>
        </is>
      </c>
      <c r="D21" s="75" t="inlineStr">
        <is>
          <t>☐</t>
        </is>
      </c>
      <c r="E21" s="75" t="inlineStr">
        <is>
          <t>☐</t>
        </is>
      </c>
      <c r="F21" s="75" t="inlineStr">
        <is>
          <t>☐</t>
        </is>
      </c>
    </row>
    <row r="22">
      <c r="A22" s="22" t="n">
        <v>19</v>
      </c>
      <c r="B22" s="24" t="inlineStr">
        <is>
          <t>World Diabetes Day (14-Nov)</t>
        </is>
      </c>
      <c r="C22" s="75" t="inlineStr">
        <is>
          <t>☐</t>
        </is>
      </c>
      <c r="D22" s="75" t="inlineStr">
        <is>
          <t>☐</t>
        </is>
      </c>
      <c r="E22" s="75" t="inlineStr">
        <is>
          <t>☐</t>
        </is>
      </c>
      <c r="F22" s="75" t="inlineStr">
        <is>
          <t>☐</t>
        </is>
      </c>
    </row>
    <row r="23">
      <c r="A23" s="28" t="n">
        <v>20</v>
      </c>
      <c r="B23" s="30" t="inlineStr">
        <is>
          <t>SERA Quarterly Friday (Quarterly)</t>
        </is>
      </c>
      <c r="C23" s="76" t="inlineStr">
        <is>
          <t>☐</t>
        </is>
      </c>
      <c r="D23" s="76" t="inlineStr">
        <is>
          <t>☐</t>
        </is>
      </c>
      <c r="E23" s="76" t="inlineStr">
        <is>
          <t>☐</t>
        </is>
      </c>
      <c r="F23" s="76" t="inlineStr">
        <is>
          <t>☐</t>
        </is>
      </c>
    </row>
    <row r="24">
      <c r="A24" s="28" t="n">
        <v>21</v>
      </c>
      <c r="B24" s="30" t="inlineStr">
        <is>
          <t>Annual Meeting (3-Feb)</t>
        </is>
      </c>
      <c r="C24" s="76" t="inlineStr">
        <is>
          <t>☐</t>
        </is>
      </c>
      <c r="D24" s="76" t="inlineStr">
        <is>
          <t>☐</t>
        </is>
      </c>
      <c r="E24" s="76" t="inlineStr">
        <is>
          <t>☐</t>
        </is>
      </c>
      <c r="F24" s="76" t="inlineStr">
        <is>
          <t>☐</t>
        </is>
      </c>
    </row>
    <row r="25">
      <c r="A25" s="28" t="n">
        <v>22</v>
      </c>
      <c r="B25" s="30" t="inlineStr">
        <is>
          <t>Employee Appreciation Day (2-Mar)</t>
        </is>
      </c>
      <c r="C25" s="76" t="inlineStr">
        <is>
          <t>☐</t>
        </is>
      </c>
      <c r="D25" s="76" t="inlineStr">
        <is>
          <t>☐</t>
        </is>
      </c>
      <c r="E25" s="76" t="inlineStr">
        <is>
          <t>☐</t>
        </is>
      </c>
      <c r="F25" s="76" t="inlineStr">
        <is>
          <t>☐</t>
        </is>
      </c>
    </row>
    <row r="26">
      <c r="A26" s="28" t="n">
        <v>23</v>
      </c>
      <c r="B26" s="30" t="inlineStr">
        <is>
          <t>International Women's Day (8-Mar)</t>
        </is>
      </c>
      <c r="C26" s="76" t="inlineStr">
        <is>
          <t>☐</t>
        </is>
      </c>
      <c r="D26" s="76" t="inlineStr">
        <is>
          <t>☐</t>
        </is>
      </c>
      <c r="E26" s="76" t="inlineStr">
        <is>
          <t>☐</t>
        </is>
      </c>
      <c r="F26" s="76" t="inlineStr">
        <is>
          <t>☐</t>
        </is>
      </c>
    </row>
    <row r="27">
      <c r="A27" s="28" t="n">
        <v>24</v>
      </c>
      <c r="B27" s="30" t="inlineStr">
        <is>
          <t>Flag Day (11-Mar)</t>
        </is>
      </c>
      <c r="C27" s="76" t="inlineStr">
        <is>
          <t>☐</t>
        </is>
      </c>
      <c r="D27" s="76" t="inlineStr">
        <is>
          <t>☐</t>
        </is>
      </c>
      <c r="E27" s="76" t="inlineStr">
        <is>
          <t>☐</t>
        </is>
      </c>
      <c r="F27" s="76" t="inlineStr">
        <is>
          <t>☐</t>
        </is>
      </c>
    </row>
    <row r="28">
      <c r="A28" s="28" t="n">
        <v>25</v>
      </c>
      <c r="B28" s="30" t="inlineStr">
        <is>
          <t>Ramadan Iftar (TBD-Mar)</t>
        </is>
      </c>
      <c r="C28" s="76" t="inlineStr">
        <is>
          <t>☐</t>
        </is>
      </c>
      <c r="D28" s="76" t="inlineStr">
        <is>
          <t>☐</t>
        </is>
      </c>
      <c r="E28" s="76" t="inlineStr">
        <is>
          <t>☐</t>
        </is>
      </c>
      <c r="F28" s="76" t="inlineStr">
        <is>
          <t>☐</t>
        </is>
      </c>
    </row>
    <row r="29">
      <c r="A29" s="28" t="n">
        <v>26</v>
      </c>
      <c r="B29" s="30" t="inlineStr">
        <is>
          <t>Mother's Day (21-Mar)</t>
        </is>
      </c>
      <c r="C29" s="76" t="inlineStr">
        <is>
          <t>☐</t>
        </is>
      </c>
      <c r="D29" s="76" t="inlineStr">
        <is>
          <t>☐</t>
        </is>
      </c>
      <c r="E29" s="76" t="inlineStr">
        <is>
          <t>☐</t>
        </is>
      </c>
      <c r="F29" s="76" t="inlineStr">
        <is>
          <t>☐</t>
        </is>
      </c>
    </row>
    <row r="30">
      <c r="A30" s="28" t="n">
        <v>27</v>
      </c>
      <c r="B30" s="30" t="inlineStr">
        <is>
          <t>Eid Al-Fitr Party (TBD-Apr)</t>
        </is>
      </c>
      <c r="C30" s="76" t="inlineStr">
        <is>
          <t>☐</t>
        </is>
      </c>
      <c r="D30" s="76" t="inlineStr">
        <is>
          <t>☐</t>
        </is>
      </c>
      <c r="E30" s="76" t="inlineStr">
        <is>
          <t>☐</t>
        </is>
      </c>
      <c r="F30" s="76" t="inlineStr">
        <is>
          <t>☐</t>
        </is>
      </c>
    </row>
    <row r="31">
      <c r="A31" s="28" t="n">
        <v>28</v>
      </c>
      <c r="B31" s="30" t="inlineStr">
        <is>
          <t>World Creativity &amp; Innovation Day (21-Apr)</t>
        </is>
      </c>
      <c r="C31" s="76" t="inlineStr">
        <is>
          <t>☐</t>
        </is>
      </c>
      <c r="D31" s="76" t="inlineStr">
        <is>
          <t>☐</t>
        </is>
      </c>
      <c r="E31" s="76" t="inlineStr">
        <is>
          <t>☐</t>
        </is>
      </c>
      <c r="F31" s="76" t="inlineStr">
        <is>
          <t>☐</t>
        </is>
      </c>
    </row>
    <row r="32">
      <c r="A32" s="28" t="n">
        <v>29</v>
      </c>
      <c r="B32" s="30" t="inlineStr">
        <is>
          <t>Tea Day (21-May)</t>
        </is>
      </c>
      <c r="C32" s="76" t="inlineStr">
        <is>
          <t>☐</t>
        </is>
      </c>
      <c r="D32" s="76" t="inlineStr">
        <is>
          <t>☐</t>
        </is>
      </c>
      <c r="E32" s="76" t="inlineStr">
        <is>
          <t>☐</t>
        </is>
      </c>
      <c r="F32" s="76" t="inlineStr">
        <is>
          <t>☐</t>
        </is>
      </c>
    </row>
    <row r="33">
      <c r="A33" s="28" t="n">
        <v>30</v>
      </c>
      <c r="B33" s="30" t="inlineStr">
        <is>
          <t>Eid Al-Adha Party (TBD-Jun)</t>
        </is>
      </c>
      <c r="C33" s="76" t="inlineStr">
        <is>
          <t>☐</t>
        </is>
      </c>
      <c r="D33" s="76" t="inlineStr">
        <is>
          <t>☐</t>
        </is>
      </c>
      <c r="E33" s="76" t="inlineStr">
        <is>
          <t>☐</t>
        </is>
      </c>
      <c r="F33" s="76" t="inlineStr">
        <is>
          <t>☐</t>
        </is>
      </c>
    </row>
    <row r="34">
      <c r="A34" s="28" t="n">
        <v>31</v>
      </c>
      <c r="B34" s="30" t="inlineStr">
        <is>
          <t>World Father's Day (15-Jun)</t>
        </is>
      </c>
      <c r="C34" s="76" t="inlineStr">
        <is>
          <t>☐</t>
        </is>
      </c>
      <c r="D34" s="76" t="inlineStr">
        <is>
          <t>☐</t>
        </is>
      </c>
      <c r="E34" s="76" t="inlineStr">
        <is>
          <t>☐</t>
        </is>
      </c>
      <c r="F34" s="76" t="inlineStr">
        <is>
          <t>☐</t>
        </is>
      </c>
    </row>
    <row r="35">
      <c r="A35" s="28" t="n">
        <v>32</v>
      </c>
      <c r="B35" s="30" t="inlineStr">
        <is>
          <t>SERA Summer (20-Jul)</t>
        </is>
      </c>
      <c r="C35" s="76" t="inlineStr">
        <is>
          <t>☐</t>
        </is>
      </c>
      <c r="D35" s="76" t="inlineStr">
        <is>
          <t>☐</t>
        </is>
      </c>
      <c r="E35" s="76" t="inlineStr">
        <is>
          <t>☐</t>
        </is>
      </c>
      <c r="F35" s="76" t="inlineStr">
        <is>
          <t>☐</t>
        </is>
      </c>
    </row>
    <row r="36">
      <c r="A36" s="28" t="n">
        <v>33</v>
      </c>
      <c r="B36" s="30" t="inlineStr">
        <is>
          <t>SERA Winter (19-Aug)</t>
        </is>
      </c>
      <c r="C36" s="76" t="inlineStr">
        <is>
          <t>☐</t>
        </is>
      </c>
      <c r="D36" s="76" t="inlineStr">
        <is>
          <t>☐</t>
        </is>
      </c>
      <c r="E36" s="76" t="inlineStr">
        <is>
          <t>☐</t>
        </is>
      </c>
      <c r="F36" s="76" t="inlineStr">
        <is>
          <t>☐</t>
        </is>
      </c>
    </row>
    <row r="37">
      <c r="A37" s="28" t="n">
        <v>34</v>
      </c>
      <c r="B37" s="30" t="inlineStr">
        <is>
          <t>World Coffee Day (1-Oct)</t>
        </is>
      </c>
      <c r="C37" s="76" t="inlineStr">
        <is>
          <t>☐</t>
        </is>
      </c>
      <c r="D37" s="76" t="inlineStr">
        <is>
          <t>☐</t>
        </is>
      </c>
      <c r="E37" s="76" t="inlineStr">
        <is>
          <t>☐</t>
        </is>
      </c>
      <c r="F37" s="76" t="inlineStr">
        <is>
          <t>☐</t>
        </is>
      </c>
    </row>
    <row r="38">
      <c r="A38" s="28" t="n">
        <v>35</v>
      </c>
      <c r="B38" s="30" t="inlineStr">
        <is>
          <t>World Savings Day (31-Oct)</t>
        </is>
      </c>
      <c r="C38" s="76" t="inlineStr">
        <is>
          <t>☐</t>
        </is>
      </c>
      <c r="D38" s="76" t="inlineStr">
        <is>
          <t>☐</t>
        </is>
      </c>
      <c r="E38" s="76" t="inlineStr">
        <is>
          <t>☐</t>
        </is>
      </c>
      <c r="F38" s="76" t="inlineStr">
        <is>
          <t>☐</t>
        </is>
      </c>
    </row>
    <row r="39">
      <c r="A39" s="28" t="n">
        <v>36</v>
      </c>
      <c r="B39" s="30" t="inlineStr">
        <is>
          <t>Cybersecurity Exhibition (TBD)</t>
        </is>
      </c>
      <c r="C39" s="76" t="inlineStr">
        <is>
          <t>☐</t>
        </is>
      </c>
      <c r="D39" s="76" t="inlineStr">
        <is>
          <t>☐</t>
        </is>
      </c>
      <c r="E39" s="76" t="inlineStr">
        <is>
          <t>☐</t>
        </is>
      </c>
      <c r="F39" s="76" t="inlineStr">
        <is>
          <t>☐</t>
        </is>
      </c>
    </row>
    <row r="40">
      <c r="A40" s="28" t="n">
        <v>37</v>
      </c>
      <c r="B40" s="30" t="inlineStr">
        <is>
          <t>Transformation Activities (TBD)</t>
        </is>
      </c>
      <c r="C40" s="76" t="inlineStr">
        <is>
          <t>☐</t>
        </is>
      </c>
      <c r="D40" s="76" t="inlineStr">
        <is>
          <t>☐</t>
        </is>
      </c>
      <c r="E40" s="76" t="inlineStr">
        <is>
          <t>☐</t>
        </is>
      </c>
      <c r="F40" s="76" t="inlineStr">
        <is>
          <t>☐</t>
        </is>
      </c>
    </row>
    <row r="41">
      <c r="A41" s="28" t="n">
        <v>38</v>
      </c>
      <c r="B41" s="30" t="inlineStr">
        <is>
          <t>Strategy &amp; Quality Day (10-Nov)</t>
        </is>
      </c>
      <c r="C41" s="76" t="inlineStr">
        <is>
          <t>☐</t>
        </is>
      </c>
      <c r="D41" s="76" t="inlineStr">
        <is>
          <t>☐</t>
        </is>
      </c>
      <c r="E41" s="76" t="inlineStr">
        <is>
          <t>☐</t>
        </is>
      </c>
      <c r="F41" s="76" t="inlineStr">
        <is>
          <t>☐</t>
        </is>
      </c>
    </row>
    <row r="42">
      <c r="A42" s="28" t="n">
        <v>39</v>
      </c>
      <c r="B42" s="30" t="inlineStr">
        <is>
          <t>International Men's Day (19-Nov)</t>
        </is>
      </c>
      <c r="C42" s="76" t="inlineStr">
        <is>
          <t>☐</t>
        </is>
      </c>
      <c r="D42" s="76" t="inlineStr">
        <is>
          <t>☐</t>
        </is>
      </c>
      <c r="E42" s="76" t="inlineStr">
        <is>
          <t>☐</t>
        </is>
      </c>
      <c r="F42" s="76" t="inlineStr">
        <is>
          <t>☐</t>
        </is>
      </c>
    </row>
    <row r="43">
      <c r="A43" s="28" t="n">
        <v>40</v>
      </c>
      <c r="B43" s="30" t="inlineStr">
        <is>
          <t>World Children's Day (20-Nov)</t>
        </is>
      </c>
      <c r="C43" s="76" t="inlineStr">
        <is>
          <t>☐</t>
        </is>
      </c>
      <c r="D43" s="76" t="inlineStr">
        <is>
          <t>☐</t>
        </is>
      </c>
      <c r="E43" s="76" t="inlineStr">
        <is>
          <t>☐</t>
        </is>
      </c>
      <c r="F43" s="76" t="inlineStr">
        <is>
          <t>☐</t>
        </is>
      </c>
    </row>
    <row r="44">
      <c r="A44" s="28" t="n">
        <v>41</v>
      </c>
      <c r="B44" s="30" t="inlineStr">
        <is>
          <t>International Anti-Corruption Day (9-Dec)</t>
        </is>
      </c>
      <c r="C44" s="76" t="inlineStr">
        <is>
          <t>☐</t>
        </is>
      </c>
      <c r="D44" s="76" t="inlineStr">
        <is>
          <t>☐</t>
        </is>
      </c>
      <c r="E44" s="76" t="inlineStr">
        <is>
          <t>☐</t>
        </is>
      </c>
      <c r="F44" s="76" t="inlineStr">
        <is>
          <t>☐</t>
        </is>
      </c>
    </row>
    <row r="45">
      <c r="A45" s="28" t="n">
        <v>42</v>
      </c>
      <c r="B45" s="30" t="inlineStr">
        <is>
          <t>Ideal Office (TBD)</t>
        </is>
      </c>
      <c r="C45" s="76" t="inlineStr">
        <is>
          <t>☐</t>
        </is>
      </c>
      <c r="D45" s="76" t="inlineStr">
        <is>
          <t>☐</t>
        </is>
      </c>
      <c r="E45" s="76" t="inlineStr">
        <is>
          <t>☐</t>
        </is>
      </c>
      <c r="F45" s="76" t="inlineStr">
        <is>
          <t>☐</t>
        </is>
      </c>
    </row>
    <row r="46">
      <c r="A46" s="28" t="n">
        <v>43</v>
      </c>
      <c r="B46" s="30" t="inlineStr">
        <is>
          <t>World Arabic Language Day (18-Dec)</t>
        </is>
      </c>
      <c r="C46" s="76" t="inlineStr">
        <is>
          <t>☐</t>
        </is>
      </c>
      <c r="D46" s="76" t="inlineStr">
        <is>
          <t>☐</t>
        </is>
      </c>
      <c r="E46" s="76" t="inlineStr">
        <is>
          <t>☐</t>
        </is>
      </c>
      <c r="F46" s="76" t="inlineStr">
        <is>
          <t>☐</t>
        </is>
      </c>
    </row>
    <row r="48">
      <c r="B48" s="67" t="inlineStr">
        <is>
          <t>Completion Rate: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2026-01-27T09:34:15Z</dcterms:created>
  <dcterms:modified xsi:type="dcterms:W3CDTF">2026-01-27T09:34:15Z</dcterms:modified>
</cp:coreProperties>
</file>